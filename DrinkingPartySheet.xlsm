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s\develops\DrinkingPartyAssister\"/>
    </mc:Choice>
  </mc:AlternateContent>
  <xr:revisionPtr revIDLastSave="0" documentId="13_ncr:1_{F138FE3D-5862-48B4-BCB8-6D76E838DBEF}" xr6:coauthVersionLast="45" xr6:coauthVersionMax="45" xr10:uidLastSave="{00000000-0000-0000-0000-000000000000}"/>
  <bookViews>
    <workbookView xWindow="28680" yWindow="-45" windowWidth="29040" windowHeight="15840" activeTab="2" xr2:uid="{00000000-000D-0000-FFFF-FFFF00000000}"/>
  </bookViews>
  <sheets>
    <sheet name="自動生成用シート" sheetId="1" r:id="rId1"/>
    <sheet name="TEST歓迎会(出欠管理)" sheetId="504" r:id="rId2"/>
    <sheet name="TEST歓迎会(会費管理)" sheetId="503" r:id="rId3"/>
    <sheet name="&lt;メンバ管理マスタ&gt;" sheetId="4" r:id="rId4"/>
    <sheet name="&lt;出欠プルダウン&gt;" sheetId="2" r:id="rId5"/>
    <sheet name="&lt;階級プルダウン&gt;" sheetId="3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" i="503" l="1"/>
  <c r="L4" i="503"/>
  <c r="K4" i="503"/>
  <c r="J4" i="503"/>
  <c r="L3" i="503"/>
  <c r="K3" i="503"/>
  <c r="J3" i="503"/>
  <c r="L2" i="503"/>
  <c r="K2" i="503"/>
  <c r="J2" i="503"/>
  <c r="F12" i="503"/>
  <c r="G12" i="503" s="1"/>
  <c r="F11" i="503"/>
  <c r="G11" i="503" s="1"/>
  <c r="F10" i="503"/>
  <c r="G10" i="503" s="1"/>
  <c r="F9" i="503"/>
  <c r="G9" i="503" s="1"/>
  <c r="F8" i="503"/>
  <c r="G8" i="503" s="1"/>
  <c r="F7" i="503"/>
  <c r="G7" i="503" s="1"/>
  <c r="F6" i="503"/>
  <c r="G6" i="503" s="1"/>
  <c r="F5" i="503"/>
  <c r="B8" i="503" s="1"/>
  <c r="F4" i="503"/>
  <c r="G4" i="503" s="1"/>
  <c r="F3" i="503"/>
  <c r="G3" i="503" s="1"/>
  <c r="F2" i="503"/>
  <c r="G2" i="503" s="1"/>
  <c r="K17" i="504"/>
  <c r="K16" i="504"/>
  <c r="K15" i="504"/>
  <c r="K14" i="504"/>
  <c r="J17" i="504"/>
  <c r="J16" i="504"/>
  <c r="J15" i="504"/>
  <c r="J14" i="504"/>
  <c r="I17" i="504"/>
  <c r="I16" i="504"/>
  <c r="I15" i="504"/>
  <c r="I14" i="504"/>
  <c r="H17" i="504"/>
  <c r="H16" i="504"/>
  <c r="H15" i="504"/>
  <c r="H14" i="504"/>
  <c r="G17" i="504"/>
  <c r="G16" i="504"/>
  <c r="G15" i="504"/>
  <c r="G14" i="504"/>
  <c r="F17" i="504"/>
  <c r="F16" i="504"/>
  <c r="F15" i="504"/>
  <c r="F14" i="504"/>
  <c r="E17" i="504"/>
  <c r="E16" i="504"/>
  <c r="E15" i="504"/>
  <c r="E14" i="504"/>
  <c r="D17" i="504"/>
  <c r="D16" i="504"/>
  <c r="D15" i="504"/>
  <c r="D14" i="504"/>
  <c r="C17" i="504"/>
  <c r="C16" i="504"/>
  <c r="C15" i="504"/>
  <c r="C14" i="504"/>
  <c r="B17" i="504"/>
  <c r="B16" i="504"/>
  <c r="B15" i="504"/>
  <c r="B14" i="504"/>
  <c r="K5" i="503" l="1"/>
  <c r="L5" i="503"/>
  <c r="G5" i="503"/>
  <c r="B9" i="503" s="1"/>
  <c r="B10" i="503" s="1"/>
</calcChain>
</file>

<file path=xl/sharedStrings.xml><?xml version="1.0" encoding="utf-8"?>
<sst xmlns="http://schemas.openxmlformats.org/spreadsheetml/2006/main" count="149" uniqueCount="75">
  <si>
    <t>総合職</t>
    <rPh sb="0" eb="2">
      <t>ソウゴウ</t>
    </rPh>
    <rPh sb="2" eb="3">
      <t>ショク</t>
    </rPh>
    <phoneticPr fontId="1"/>
  </si>
  <si>
    <t>総合職</t>
    <rPh sb="0" eb="2">
      <t>ソウゴウ</t>
    </rPh>
    <rPh sb="2" eb="3">
      <t>ショク</t>
    </rPh>
    <phoneticPr fontId="2"/>
  </si>
  <si>
    <t>基幹職</t>
    <rPh sb="0" eb="2">
      <t>キカン</t>
    </rPh>
    <rPh sb="2" eb="3">
      <t>ショク</t>
    </rPh>
    <phoneticPr fontId="1"/>
  </si>
  <si>
    <t>基幹職</t>
    <rPh sb="0" eb="2">
      <t>キカン</t>
    </rPh>
    <rPh sb="2" eb="3">
      <t>ショク</t>
    </rPh>
    <phoneticPr fontId="2"/>
  </si>
  <si>
    <t>ライン職</t>
    <rPh sb="3" eb="4">
      <t>ショク</t>
    </rPh>
    <phoneticPr fontId="2"/>
  </si>
  <si>
    <t>出席</t>
    <rPh sb="0" eb="2">
      <t>シュッセキ</t>
    </rPh>
    <phoneticPr fontId="2"/>
  </si>
  <si>
    <t>欠席</t>
    <rPh sb="0" eb="2">
      <t>ケッセキ</t>
    </rPh>
    <phoneticPr fontId="2"/>
  </si>
  <si>
    <t>不明</t>
    <rPh sb="0" eb="2">
      <t>フメイ</t>
    </rPh>
    <phoneticPr fontId="2"/>
  </si>
  <si>
    <t>飲み会名</t>
    <rPh sb="0" eb="1">
      <t>ノ</t>
    </rPh>
    <rPh sb="2" eb="3">
      <t>カイ</t>
    </rPh>
    <rPh sb="3" eb="4">
      <t>メイ</t>
    </rPh>
    <phoneticPr fontId="2"/>
  </si>
  <si>
    <t>出欠プルダウンシート名</t>
    <rPh sb="0" eb="2">
      <t>シュッケツ</t>
    </rPh>
    <rPh sb="10" eb="11">
      <t>メイ</t>
    </rPh>
    <phoneticPr fontId="2"/>
  </si>
  <si>
    <t>メンバ管理シート名</t>
    <rPh sb="3" eb="5">
      <t>カンリ</t>
    </rPh>
    <rPh sb="8" eb="9">
      <t>メイ</t>
    </rPh>
    <phoneticPr fontId="2"/>
  </si>
  <si>
    <t>階級プルダウンシート名</t>
    <rPh sb="0" eb="2">
      <t>カイキュウ</t>
    </rPh>
    <rPh sb="10" eb="11">
      <t>メイ</t>
    </rPh>
    <phoneticPr fontId="2"/>
  </si>
  <si>
    <t>&lt;階級プルダウン&gt;</t>
    <phoneticPr fontId="2"/>
  </si>
  <si>
    <t>候補日：土日有無</t>
    <rPh sb="4" eb="6">
      <t>ドニチ</t>
    </rPh>
    <rPh sb="6" eb="7">
      <t>アリ</t>
    </rPh>
    <rPh sb="7" eb="8">
      <t>ナ</t>
    </rPh>
    <phoneticPr fontId="2"/>
  </si>
  <si>
    <t>無</t>
    <rPh sb="0" eb="1">
      <t>ナ</t>
    </rPh>
    <phoneticPr fontId="2"/>
  </si>
  <si>
    <t>候補日：開始日</t>
    <rPh sb="4" eb="6">
      <t>カイシ</t>
    </rPh>
    <rPh sb="6" eb="7">
      <t>ヒ</t>
    </rPh>
    <phoneticPr fontId="2"/>
  </si>
  <si>
    <t>候補日：終了日</t>
    <rPh sb="0" eb="2">
      <t>コウホ</t>
    </rPh>
    <rPh sb="2" eb="3">
      <t>ヒ</t>
    </rPh>
    <rPh sb="4" eb="6">
      <t>シュウリョウ</t>
    </rPh>
    <phoneticPr fontId="2"/>
  </si>
  <si>
    <t>階級</t>
  </si>
  <si>
    <t>アドレス1</t>
  </si>
  <si>
    <t>アドレス2</t>
  </si>
  <si>
    <t>A</t>
  </si>
  <si>
    <t>総合職</t>
  </si>
  <si>
    <t>B</t>
  </si>
  <si>
    <t>基幹職</t>
  </si>
  <si>
    <t>C</t>
  </si>
  <si>
    <t>D</t>
  </si>
  <si>
    <t>E</t>
  </si>
  <si>
    <t>F</t>
  </si>
  <si>
    <t>G</t>
  </si>
  <si>
    <t>H</t>
  </si>
  <si>
    <t>I</t>
  </si>
  <si>
    <t>J</t>
  </si>
  <si>
    <t>K</t>
  </si>
  <si>
    <t>名前</t>
    <rPh sb="0" eb="2">
      <t>ナマエ</t>
    </rPh>
    <phoneticPr fontId="1"/>
  </si>
  <si>
    <t>階級</t>
    <rPh sb="0" eb="2">
      <t>カイキュウ</t>
    </rPh>
    <phoneticPr fontId="1"/>
  </si>
  <si>
    <t>A@gmail.com</t>
  </si>
  <si>
    <t>A@yahoo.co.jp</t>
  </si>
  <si>
    <t>B@gmail.com</t>
  </si>
  <si>
    <t>B@yahoo.co.jp</t>
  </si>
  <si>
    <t>C@gmail.com</t>
  </si>
  <si>
    <t>C@yahoo.co.jp</t>
  </si>
  <si>
    <t>D@gmail.com</t>
  </si>
  <si>
    <t>D@yahoo.co.jp</t>
  </si>
  <si>
    <t>E@gmail.com</t>
  </si>
  <si>
    <t>E@yahoo.co.jp</t>
  </si>
  <si>
    <t>F@gmail.com</t>
  </si>
  <si>
    <t>F@yahoo.co.jp</t>
  </si>
  <si>
    <t>G@gmail.com</t>
  </si>
  <si>
    <t>G@yahoo.co.jp</t>
  </si>
  <si>
    <t>H@gmail.com</t>
  </si>
  <si>
    <t>H@yahoo.co.jp</t>
  </si>
  <si>
    <t>I@gmail.com</t>
  </si>
  <si>
    <t>I@yahoo.co.jp</t>
  </si>
  <si>
    <t>J@gmail.com</t>
  </si>
  <si>
    <t>J@yahoo.co.jp</t>
  </si>
  <si>
    <t>K@gmail.com</t>
  </si>
  <si>
    <t>K@yahoo.co.jp</t>
  </si>
  <si>
    <t>出席</t>
  </si>
  <si>
    <t>ライン職</t>
  </si>
  <si>
    <t>開催日</t>
  </si>
  <si>
    <t>&lt;出欠プルダウン&gt;</t>
    <phoneticPr fontId="2"/>
  </si>
  <si>
    <t>&lt;メンバ管理マスタ&gt;</t>
    <phoneticPr fontId="2"/>
  </si>
  <si>
    <t>欠席</t>
  </si>
  <si>
    <t>不明</t>
  </si>
  <si>
    <t>名前</t>
  </si>
  <si>
    <t>未入力</t>
  </si>
  <si>
    <t>出欠</t>
  </si>
  <si>
    <t>会費</t>
  </si>
  <si>
    <t>#一番上は出席のラベルにすること</t>
    <rPh sb="1" eb="3">
      <t>イチバン</t>
    </rPh>
    <rPh sb="3" eb="4">
      <t>ウエ</t>
    </rPh>
    <rPh sb="5" eb="7">
      <t>シュッセキ</t>
    </rPh>
    <phoneticPr fontId="2"/>
  </si>
  <si>
    <t>出欠および会費管理シート自動生成エクセル</t>
    <rPh sb="0" eb="2">
      <t>シュッケツ</t>
    </rPh>
    <rPh sb="5" eb="7">
      <t>カイヒ</t>
    </rPh>
    <rPh sb="7" eb="9">
      <t>カンリ</t>
    </rPh>
    <rPh sb="12" eb="14">
      <t>ジドウ</t>
    </rPh>
    <rPh sb="14" eb="16">
      <t>セイセイ</t>
    </rPh>
    <phoneticPr fontId="2"/>
  </si>
  <si>
    <t>会費(1人当たり)</t>
  </si>
  <si>
    <t>実合計会費</t>
  </si>
  <si>
    <t>傾斜含む合計会費</t>
  </si>
  <si>
    <t>差分</t>
  </si>
  <si>
    <t>TEST歓迎会2</t>
    <rPh sb="4" eb="6">
      <t>カンゲイ</t>
    </rPh>
    <rPh sb="6" eb="7">
      <t>カイ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</si>
</sst>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00B050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14" fontId="0" fillId="3" borderId="1" xfId="0" applyNumberFormat="1" applyFill="1" applyBorder="1"/>
    <xf numFmtId="14" fontId="0" fillId="0" borderId="1" xfId="0" applyNumberFormat="1" applyBorder="1"/>
    <xf numFmtId="0" fontId="3" fillId="0" borderId="0" xfId="0" applyFont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4" borderId="1" xfId="0" applyFill="1" applyBorder="1"/>
    <xf numFmtId="0" fontId="4" fillId="0" borderId="0" xfId="0" applyFont="1" applyAlignment="1">
      <alignment horizontal="left" vertical="center"/>
    </xf>
    <xf numFmtId="0" fontId="0" fillId="5" borderId="1" xfId="0" applyFill="1" applyBorder="1"/>
  </cellXfs>
  <cellStyles count="1">
    <cellStyle name="標準" xfId="0" builtinId="0"/>
  </cellStyles>
  <dxfs count="154">
    <dxf>
      <fill>
        <patternFill>
          <bgColor rgb="FFF8CBAD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</dxfs>
  <tableStyles count="0" defaultTableStyle="TableStyleMedium2" defaultPivotStyle="PivotStyleLight16"/>
  <colors>
    <mruColors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1095375</xdr:colOff>
      <xdr:row>12</xdr:row>
      <xdr:rowOff>9525</xdr:rowOff>
    </xdr:from>
    <xdr:to>
      <xdr:col>3</xdr:col>
      <xdr:colOff>0</xdr:colOff>
      <xdr:row>14</xdr:row>
      <xdr:rowOff>9525</xdr:rowOff>
    </xdr:to>
    <xdr:sp macro="[0]!CreateSheetButton_Click" textlink="">
      <xdr:nvSpPr>
        <xdr:cNvPr id="2" name="正方形/長方形 1">
          <a:extLst>
            <a:ext uri="{FF2B5EF4-FFF2-40B4-BE49-F238E27FC236}">
              <a16:creationId xmlns:a16="http://schemas.microsoft.com/office/drawing/2014/main" id="{4F8923CB-258B-4AE2-835A-FD95163155CE}"/>
            </a:ext>
          </a:extLst>
        </xdr:cNvPr>
        <xdr:cNvSpPr/>
      </xdr:nvSpPr>
      <xdr:spPr>
        <a:xfrm>
          <a:off x="1371600" y="2943225"/>
          <a:ext cx="2857500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出欠シート、会費シート作成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9"/>
  <sheetViews>
    <sheetView workbookViewId="0">
      <selection activeCell="E4" sqref="E4"/>
    </sheetView>
  </sheetViews>
  <sheetFormatPr defaultRowHeight="18.75"/>
  <cols>
    <col min="1" max="1" width="3.625" customWidth="1"/>
    <col min="2" max="2" width="25.625" customWidth="1"/>
    <col min="3" max="3" width="26.25" customWidth="1"/>
  </cols>
  <sheetData>
    <row r="1" spans="2:3" ht="24.95" customHeight="1">
      <c r="B1" s="10" t="s">
        <v>69</v>
      </c>
    </row>
    <row r="3" spans="2:3">
      <c r="B3" s="9" t="s">
        <v>8</v>
      </c>
      <c r="C3" s="7" t="s">
        <v>74</v>
      </c>
    </row>
    <row r="4" spans="2:3">
      <c r="B4" s="9" t="s">
        <v>15</v>
      </c>
      <c r="C4" s="8">
        <v>43966</v>
      </c>
    </row>
    <row r="5" spans="2:3">
      <c r="B5" s="9" t="s">
        <v>16</v>
      </c>
      <c r="C5" s="8">
        <v>43981</v>
      </c>
    </row>
    <row r="6" spans="2:3">
      <c r="B6" s="9" t="s">
        <v>13</v>
      </c>
      <c r="C6" s="7" t="s">
        <v>14</v>
      </c>
    </row>
    <row r="7" spans="2:3">
      <c r="B7" s="9" t="s">
        <v>10</v>
      </c>
      <c r="C7" s="7" t="s">
        <v>61</v>
      </c>
    </row>
    <row r="8" spans="2:3">
      <c r="B8" s="9" t="s">
        <v>9</v>
      </c>
      <c r="C8" s="7" t="s">
        <v>60</v>
      </c>
    </row>
    <row r="9" spans="2:3">
      <c r="B9" s="9" t="s">
        <v>11</v>
      </c>
      <c r="C9" s="7" t="s">
        <v>12</v>
      </c>
    </row>
  </sheetData>
  <phoneticPr fontId="2"/>
  <dataValidations count="1">
    <dataValidation type="list" allowBlank="1" showInputMessage="1" showErrorMessage="1" sqref="C6" xr:uid="{8DEF8B8E-426F-42A1-A0A6-99D5449F96BC}">
      <formula1>"有,無"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6F516-33B3-4D76-B8D3-B9ED9605E9F8}">
  <sheetPr codeName="Sheet16"/>
  <dimension ref="A1:K17"/>
  <sheetViews>
    <sheetView tabSelected="1" workbookViewId="0">
      <selection activeCell="G26" sqref="G26"/>
    </sheetView>
  </sheetViews>
  <sheetFormatPr defaultRowHeight="18.75"/>
  <cols>
    <col min="1" max="1" width="15.625" customWidth="1"/>
    <col min="2" max="11" width="10.625" customWidth="1"/>
  </cols>
  <sheetData>
    <row r="1" spans="1:11">
      <c r="A1" s="1" t="s">
        <v>64</v>
      </c>
      <c r="B1" s="4">
        <v>43969</v>
      </c>
      <c r="C1" s="4">
        <v>43970</v>
      </c>
      <c r="D1" s="4">
        <v>43971</v>
      </c>
      <c r="E1" s="4">
        <v>43972</v>
      </c>
      <c r="F1" s="4">
        <v>43973</v>
      </c>
      <c r="G1" s="4">
        <v>43976</v>
      </c>
      <c r="H1" s="4">
        <v>43977</v>
      </c>
      <c r="I1" s="4">
        <v>43978</v>
      </c>
      <c r="J1" s="4">
        <v>43979</v>
      </c>
      <c r="K1" s="4">
        <v>43980</v>
      </c>
    </row>
    <row r="2" spans="1:11">
      <c r="A2" s="11" t="s">
        <v>20</v>
      </c>
      <c r="B2" s="2" t="s">
        <v>57</v>
      </c>
      <c r="C2" s="2" t="s">
        <v>57</v>
      </c>
      <c r="D2" s="2"/>
      <c r="E2" s="2"/>
      <c r="F2" s="2"/>
      <c r="G2" s="2"/>
      <c r="H2" s="2"/>
      <c r="I2" s="2"/>
      <c r="J2" s="2"/>
      <c r="K2" s="2"/>
    </row>
    <row r="3" spans="1:11">
      <c r="A3" s="11" t="s">
        <v>22</v>
      </c>
      <c r="B3" s="2" t="s">
        <v>57</v>
      </c>
      <c r="C3" s="2" t="s">
        <v>57</v>
      </c>
      <c r="D3" s="2"/>
      <c r="E3" s="2"/>
      <c r="F3" s="2"/>
      <c r="G3" s="2"/>
      <c r="H3" s="2"/>
      <c r="I3" s="2"/>
      <c r="J3" s="2"/>
      <c r="K3" s="2"/>
    </row>
    <row r="4" spans="1:11">
      <c r="A4" s="11" t="s">
        <v>24</v>
      </c>
      <c r="B4" s="2" t="s">
        <v>57</v>
      </c>
      <c r="C4" s="2" t="s">
        <v>57</v>
      </c>
      <c r="D4" s="2"/>
      <c r="E4" s="2"/>
      <c r="F4" s="2"/>
      <c r="G4" s="2"/>
      <c r="H4" s="2"/>
      <c r="I4" s="2"/>
      <c r="J4" s="2"/>
      <c r="K4" s="2"/>
    </row>
    <row r="5" spans="1:11">
      <c r="A5" s="11" t="s">
        <v>25</v>
      </c>
      <c r="B5" s="2" t="s">
        <v>57</v>
      </c>
      <c r="C5" s="2" t="s">
        <v>57</v>
      </c>
      <c r="D5" s="2"/>
      <c r="E5" s="2"/>
      <c r="F5" s="2"/>
      <c r="G5" s="2"/>
      <c r="H5" s="2"/>
      <c r="I5" s="2"/>
      <c r="J5" s="2"/>
      <c r="K5" s="2"/>
    </row>
    <row r="6" spans="1:11">
      <c r="A6" s="11" t="s">
        <v>26</v>
      </c>
      <c r="B6" s="2" t="s">
        <v>57</v>
      </c>
      <c r="C6" s="2" t="s">
        <v>57</v>
      </c>
      <c r="D6" s="2"/>
      <c r="E6" s="2"/>
      <c r="F6" s="2"/>
      <c r="G6" s="2"/>
      <c r="H6" s="2"/>
      <c r="I6" s="2"/>
      <c r="J6" s="2"/>
      <c r="K6" s="2"/>
    </row>
    <row r="7" spans="1:11">
      <c r="A7" s="11" t="s">
        <v>27</v>
      </c>
      <c r="B7" s="2" t="s">
        <v>57</v>
      </c>
      <c r="C7" s="2" t="s">
        <v>57</v>
      </c>
      <c r="D7" s="2"/>
      <c r="E7" s="2"/>
      <c r="F7" s="2"/>
      <c r="G7" s="2"/>
      <c r="H7" s="2"/>
      <c r="I7" s="2"/>
      <c r="J7" s="2"/>
      <c r="K7" s="2"/>
    </row>
    <row r="8" spans="1:11">
      <c r="A8" s="11" t="s">
        <v>28</v>
      </c>
      <c r="B8" s="2" t="s">
        <v>57</v>
      </c>
      <c r="C8" s="2" t="s">
        <v>57</v>
      </c>
      <c r="D8" s="2"/>
      <c r="E8" s="2"/>
      <c r="F8" s="2"/>
      <c r="G8" s="2"/>
      <c r="H8" s="2"/>
      <c r="I8" s="2"/>
      <c r="J8" s="2"/>
      <c r="K8" s="2"/>
    </row>
    <row r="9" spans="1:11">
      <c r="A9" s="11" t="s">
        <v>29</v>
      </c>
      <c r="B9" s="2" t="s">
        <v>57</v>
      </c>
      <c r="C9" s="2" t="s">
        <v>57</v>
      </c>
      <c r="D9" s="2"/>
      <c r="E9" s="2"/>
      <c r="F9" s="2"/>
      <c r="G9" s="2"/>
      <c r="H9" s="2"/>
      <c r="I9" s="2"/>
      <c r="J9" s="2"/>
      <c r="K9" s="2"/>
    </row>
    <row r="10" spans="1:11">
      <c r="A10" s="11" t="s">
        <v>30</v>
      </c>
      <c r="B10" s="2" t="s">
        <v>57</v>
      </c>
      <c r="C10" s="2" t="s">
        <v>62</v>
      </c>
      <c r="D10" s="2"/>
      <c r="E10" s="2"/>
      <c r="F10" s="2"/>
      <c r="G10" s="2"/>
      <c r="H10" s="2"/>
      <c r="I10" s="2"/>
      <c r="J10" s="2"/>
      <c r="K10" s="2"/>
    </row>
    <row r="11" spans="1:11">
      <c r="A11" s="11" t="s">
        <v>31</v>
      </c>
      <c r="B11" s="2" t="s">
        <v>57</v>
      </c>
      <c r="C11" s="2" t="s">
        <v>57</v>
      </c>
      <c r="D11" s="2"/>
      <c r="E11" s="2"/>
      <c r="F11" s="2"/>
      <c r="G11" s="2"/>
      <c r="H11" s="2"/>
      <c r="I11" s="2"/>
      <c r="J11" s="2"/>
      <c r="K11" s="2"/>
    </row>
    <row r="12" spans="1:11">
      <c r="A12" s="11" t="s">
        <v>32</v>
      </c>
      <c r="B12" s="2" t="s">
        <v>57</v>
      </c>
      <c r="C12" s="2" t="s">
        <v>57</v>
      </c>
      <c r="D12" s="2"/>
      <c r="E12" s="2"/>
      <c r="F12" s="2"/>
      <c r="G12" s="2"/>
      <c r="H12" s="2"/>
      <c r="I12" s="2"/>
      <c r="J12" s="2"/>
      <c r="K12" s="2"/>
    </row>
    <row r="14" spans="1:11">
      <c r="A14" s="11" t="s">
        <v>57</v>
      </c>
      <c r="B14" s="11">
        <f>COUNTIF(B2:B12,"出席")</f>
        <v>11</v>
      </c>
      <c r="C14" s="11">
        <f>COUNTIF(C2:C12,"出席")</f>
        <v>10</v>
      </c>
      <c r="D14" s="11">
        <f>COUNTIF(D2:D12,"出席")</f>
        <v>0</v>
      </c>
      <c r="E14" s="11">
        <f>COUNTIF(E2:E12,"出席")</f>
        <v>0</v>
      </c>
      <c r="F14" s="11">
        <f>COUNTIF(F2:F12,"出席")</f>
        <v>0</v>
      </c>
      <c r="G14" s="11">
        <f>COUNTIF(G2:G12,"出席")</f>
        <v>0</v>
      </c>
      <c r="H14" s="11">
        <f>COUNTIF(H2:H12,"出席")</f>
        <v>0</v>
      </c>
      <c r="I14" s="11">
        <f>COUNTIF(I2:I12,"出席")</f>
        <v>0</v>
      </c>
      <c r="J14" s="11">
        <f>COUNTIF(J2:J12,"出席")</f>
        <v>0</v>
      </c>
      <c r="K14" s="11">
        <f>COUNTIF(K2:K12,"出席")</f>
        <v>0</v>
      </c>
    </row>
    <row r="15" spans="1:11">
      <c r="A15" s="11" t="s">
        <v>62</v>
      </c>
      <c r="B15" s="11">
        <f>COUNTIF(B2:B12,"欠席")</f>
        <v>0</v>
      </c>
      <c r="C15" s="11">
        <f>COUNTIF(C2:C12,"欠席")</f>
        <v>1</v>
      </c>
      <c r="D15" s="11">
        <f>COUNTIF(D2:D12,"欠席")</f>
        <v>0</v>
      </c>
      <c r="E15" s="11">
        <f>COUNTIF(E2:E12,"欠席")</f>
        <v>0</v>
      </c>
      <c r="F15" s="11">
        <f>COUNTIF(F2:F12,"欠席")</f>
        <v>0</v>
      </c>
      <c r="G15" s="11">
        <f>COUNTIF(G2:G12,"欠席")</f>
        <v>0</v>
      </c>
      <c r="H15" s="11">
        <f>COUNTIF(H2:H12,"欠席")</f>
        <v>0</v>
      </c>
      <c r="I15" s="11">
        <f>COUNTIF(I2:I12,"欠席")</f>
        <v>0</v>
      </c>
      <c r="J15" s="11">
        <f>COUNTIF(J2:J12,"欠席")</f>
        <v>0</v>
      </c>
      <c r="K15" s="11">
        <f>COUNTIF(K2:K12,"欠席")</f>
        <v>0</v>
      </c>
    </row>
    <row r="16" spans="1:11">
      <c r="A16" s="11" t="s">
        <v>63</v>
      </c>
      <c r="B16" s="11">
        <f>COUNTIF(B2:B12,"不明")</f>
        <v>0</v>
      </c>
      <c r="C16" s="11">
        <f>COUNTIF(C2:C12,"不明")</f>
        <v>0</v>
      </c>
      <c r="D16" s="11">
        <f>COUNTIF(D2:D12,"不明")</f>
        <v>0</v>
      </c>
      <c r="E16" s="11">
        <f>COUNTIF(E2:E12,"不明")</f>
        <v>0</v>
      </c>
      <c r="F16" s="11">
        <f>COUNTIF(F2:F12,"不明")</f>
        <v>0</v>
      </c>
      <c r="G16" s="11">
        <f>COUNTIF(G2:G12,"不明")</f>
        <v>0</v>
      </c>
      <c r="H16" s="11">
        <f>COUNTIF(H2:H12,"不明")</f>
        <v>0</v>
      </c>
      <c r="I16" s="11">
        <f>COUNTIF(I2:I12,"不明")</f>
        <v>0</v>
      </c>
      <c r="J16" s="11">
        <f>COUNTIF(J2:J12,"不明")</f>
        <v>0</v>
      </c>
      <c r="K16" s="11">
        <f>COUNTIF(K2:K12,"不明")</f>
        <v>0</v>
      </c>
    </row>
    <row r="17" spans="1:11">
      <c r="A17" s="11" t="s">
        <v>65</v>
      </c>
      <c r="B17" s="11">
        <f>COUNTIF(B2:B12,"")</f>
        <v>0</v>
      </c>
      <c r="C17" s="11">
        <f>COUNTIF(C2:C12,"")</f>
        <v>0</v>
      </c>
      <c r="D17" s="11">
        <f>COUNTIF(D2:D12,"")</f>
        <v>11</v>
      </c>
      <c r="E17" s="11">
        <f>COUNTIF(E2:E12,"")</f>
        <v>11</v>
      </c>
      <c r="F17" s="11">
        <f>COUNTIF(F2:F12,"")</f>
        <v>11</v>
      </c>
      <c r="G17" s="11">
        <f>COUNTIF(G2:G12,"")</f>
        <v>11</v>
      </c>
      <c r="H17" s="11">
        <f>COUNTIF(H2:H12,"")</f>
        <v>11</v>
      </c>
      <c r="I17" s="11">
        <f>COUNTIF(I2:I12,"")</f>
        <v>11</v>
      </c>
      <c r="J17" s="11">
        <f>COUNTIF(J2:J12,"")</f>
        <v>11</v>
      </c>
      <c r="K17" s="11">
        <f>COUNTIF(K2:K12,"")</f>
        <v>11</v>
      </c>
    </row>
  </sheetData>
  <phoneticPr fontId="2"/>
  <conditionalFormatting sqref="B2:C12">
    <cfRule type="expression" dxfId="153" priority="1" stopIfTrue="1">
      <formula>B2=""</formula>
    </cfRule>
  </conditionalFormatting>
  <conditionalFormatting sqref="D2">
    <cfRule type="expression" dxfId="151" priority="3" stopIfTrue="1">
      <formula>D2=""</formula>
    </cfRule>
  </conditionalFormatting>
  <conditionalFormatting sqref="E2">
    <cfRule type="expression" dxfId="150" priority="4" stopIfTrue="1">
      <formula>E2=""</formula>
    </cfRule>
  </conditionalFormatting>
  <conditionalFormatting sqref="F2">
    <cfRule type="expression" dxfId="149" priority="5" stopIfTrue="1">
      <formula>F2=""</formula>
    </cfRule>
  </conditionalFormatting>
  <conditionalFormatting sqref="G2">
    <cfRule type="expression" dxfId="148" priority="6" stopIfTrue="1">
      <formula>G2=""</formula>
    </cfRule>
  </conditionalFormatting>
  <conditionalFormatting sqref="H2">
    <cfRule type="expression" dxfId="147" priority="7" stopIfTrue="1">
      <formula>H2=""</formula>
    </cfRule>
  </conditionalFormatting>
  <conditionalFormatting sqref="I2">
    <cfRule type="expression" dxfId="146" priority="8" stopIfTrue="1">
      <formula>I2=""</formula>
    </cfRule>
  </conditionalFormatting>
  <conditionalFormatting sqref="J2">
    <cfRule type="expression" dxfId="145" priority="9" stopIfTrue="1">
      <formula>J2=""</formula>
    </cfRule>
  </conditionalFormatting>
  <conditionalFormatting sqref="K2">
    <cfRule type="expression" dxfId="144" priority="10" stopIfTrue="1">
      <formula>K2=""</formula>
    </cfRule>
  </conditionalFormatting>
  <conditionalFormatting sqref="D3">
    <cfRule type="expression" dxfId="141" priority="13" stopIfTrue="1">
      <formula>D3=""</formula>
    </cfRule>
  </conditionalFormatting>
  <conditionalFormatting sqref="E3">
    <cfRule type="expression" dxfId="140" priority="14" stopIfTrue="1">
      <formula>E3=""</formula>
    </cfRule>
  </conditionalFormatting>
  <conditionalFormatting sqref="F3">
    <cfRule type="expression" dxfId="139" priority="15" stopIfTrue="1">
      <formula>F3=""</formula>
    </cfRule>
  </conditionalFormatting>
  <conditionalFormatting sqref="G3">
    <cfRule type="expression" dxfId="138" priority="16" stopIfTrue="1">
      <formula>G3=""</formula>
    </cfRule>
  </conditionalFormatting>
  <conditionalFormatting sqref="H3">
    <cfRule type="expression" dxfId="137" priority="17" stopIfTrue="1">
      <formula>H3=""</formula>
    </cfRule>
  </conditionalFormatting>
  <conditionalFormatting sqref="I3">
    <cfRule type="expression" dxfId="136" priority="18" stopIfTrue="1">
      <formula>I3=""</formula>
    </cfRule>
  </conditionalFormatting>
  <conditionalFormatting sqref="J3">
    <cfRule type="expression" dxfId="135" priority="19" stopIfTrue="1">
      <formula>J3=""</formula>
    </cfRule>
  </conditionalFormatting>
  <conditionalFormatting sqref="K3">
    <cfRule type="expression" dxfId="134" priority="20" stopIfTrue="1">
      <formula>K3=""</formula>
    </cfRule>
  </conditionalFormatting>
  <conditionalFormatting sqref="D4">
    <cfRule type="expression" dxfId="131" priority="23" stopIfTrue="1">
      <formula>D4=""</formula>
    </cfRule>
  </conditionalFormatting>
  <conditionalFormatting sqref="E4">
    <cfRule type="expression" dxfId="130" priority="24" stopIfTrue="1">
      <formula>E4=""</formula>
    </cfRule>
  </conditionalFormatting>
  <conditionalFormatting sqref="F4">
    <cfRule type="expression" dxfId="129" priority="25" stopIfTrue="1">
      <formula>F4=""</formula>
    </cfRule>
  </conditionalFormatting>
  <conditionalFormatting sqref="G4">
    <cfRule type="expression" dxfId="128" priority="26" stopIfTrue="1">
      <formula>G4=""</formula>
    </cfRule>
  </conditionalFormatting>
  <conditionalFormatting sqref="H4">
    <cfRule type="expression" dxfId="127" priority="27" stopIfTrue="1">
      <formula>H4=""</formula>
    </cfRule>
  </conditionalFormatting>
  <conditionalFormatting sqref="I4">
    <cfRule type="expression" dxfId="126" priority="28" stopIfTrue="1">
      <formula>I4=""</formula>
    </cfRule>
  </conditionalFormatting>
  <conditionalFormatting sqref="J4">
    <cfRule type="expression" dxfId="125" priority="29" stopIfTrue="1">
      <formula>J4=""</formula>
    </cfRule>
  </conditionalFormatting>
  <conditionalFormatting sqref="K4">
    <cfRule type="expression" dxfId="124" priority="30" stopIfTrue="1">
      <formula>K4=""</formula>
    </cfRule>
  </conditionalFormatting>
  <conditionalFormatting sqref="D5">
    <cfRule type="expression" dxfId="121" priority="33" stopIfTrue="1">
      <formula>D5=""</formula>
    </cfRule>
  </conditionalFormatting>
  <conditionalFormatting sqref="E5">
    <cfRule type="expression" dxfId="120" priority="34" stopIfTrue="1">
      <formula>E5=""</formula>
    </cfRule>
  </conditionalFormatting>
  <conditionalFormatting sqref="F5">
    <cfRule type="expression" dxfId="119" priority="35" stopIfTrue="1">
      <formula>F5=""</formula>
    </cfRule>
  </conditionalFormatting>
  <conditionalFormatting sqref="G5">
    <cfRule type="expression" dxfId="118" priority="36" stopIfTrue="1">
      <formula>G5=""</formula>
    </cfRule>
  </conditionalFormatting>
  <conditionalFormatting sqref="H5">
    <cfRule type="expression" dxfId="117" priority="37" stopIfTrue="1">
      <formula>H5=""</formula>
    </cfRule>
  </conditionalFormatting>
  <conditionalFormatting sqref="I5">
    <cfRule type="expression" dxfId="116" priority="38" stopIfTrue="1">
      <formula>I5=""</formula>
    </cfRule>
  </conditionalFormatting>
  <conditionalFormatting sqref="J5">
    <cfRule type="expression" dxfId="115" priority="39" stopIfTrue="1">
      <formula>J5=""</formula>
    </cfRule>
  </conditionalFormatting>
  <conditionalFormatting sqref="K5">
    <cfRule type="expression" dxfId="114" priority="40" stopIfTrue="1">
      <formula>K5=""</formula>
    </cfRule>
  </conditionalFormatting>
  <conditionalFormatting sqref="D6">
    <cfRule type="expression" dxfId="111" priority="43" stopIfTrue="1">
      <formula>D6=""</formula>
    </cfRule>
  </conditionalFormatting>
  <conditionalFormatting sqref="E6">
    <cfRule type="expression" dxfId="110" priority="44" stopIfTrue="1">
      <formula>E6=""</formula>
    </cfRule>
  </conditionalFormatting>
  <conditionalFormatting sqref="F6">
    <cfRule type="expression" dxfId="109" priority="45" stopIfTrue="1">
      <formula>F6=""</formula>
    </cfRule>
  </conditionalFormatting>
  <conditionalFormatting sqref="G6">
    <cfRule type="expression" dxfId="108" priority="46" stopIfTrue="1">
      <formula>G6=""</formula>
    </cfRule>
  </conditionalFormatting>
  <conditionalFormatting sqref="H6">
    <cfRule type="expression" dxfId="107" priority="47" stopIfTrue="1">
      <formula>H6=""</formula>
    </cfRule>
  </conditionalFormatting>
  <conditionalFormatting sqref="I6">
    <cfRule type="expression" dxfId="106" priority="48" stopIfTrue="1">
      <formula>I6=""</formula>
    </cfRule>
  </conditionalFormatting>
  <conditionalFormatting sqref="J6">
    <cfRule type="expression" dxfId="105" priority="49" stopIfTrue="1">
      <formula>J6=""</formula>
    </cfRule>
  </conditionalFormatting>
  <conditionalFormatting sqref="K6">
    <cfRule type="expression" dxfId="104" priority="50" stopIfTrue="1">
      <formula>K6=""</formula>
    </cfRule>
  </conditionalFormatting>
  <conditionalFormatting sqref="D7">
    <cfRule type="expression" dxfId="101" priority="53" stopIfTrue="1">
      <formula>D7=""</formula>
    </cfRule>
  </conditionalFormatting>
  <conditionalFormatting sqref="E7">
    <cfRule type="expression" dxfId="100" priority="54" stopIfTrue="1">
      <formula>E7=""</formula>
    </cfRule>
  </conditionalFormatting>
  <conditionalFormatting sqref="F7">
    <cfRule type="expression" dxfId="99" priority="55" stopIfTrue="1">
      <formula>F7=""</formula>
    </cfRule>
  </conditionalFormatting>
  <conditionalFormatting sqref="G7">
    <cfRule type="expression" dxfId="98" priority="56" stopIfTrue="1">
      <formula>G7=""</formula>
    </cfRule>
  </conditionalFormatting>
  <conditionalFormatting sqref="H7">
    <cfRule type="expression" dxfId="97" priority="57" stopIfTrue="1">
      <formula>H7=""</formula>
    </cfRule>
  </conditionalFormatting>
  <conditionalFormatting sqref="I7">
    <cfRule type="expression" dxfId="96" priority="58" stopIfTrue="1">
      <formula>I7=""</formula>
    </cfRule>
  </conditionalFormatting>
  <conditionalFormatting sqref="J7">
    <cfRule type="expression" dxfId="95" priority="59" stopIfTrue="1">
      <formula>J7=""</formula>
    </cfRule>
  </conditionalFormatting>
  <conditionalFormatting sqref="K7">
    <cfRule type="expression" dxfId="94" priority="60" stopIfTrue="1">
      <formula>K7=""</formula>
    </cfRule>
  </conditionalFormatting>
  <conditionalFormatting sqref="D8">
    <cfRule type="expression" dxfId="91" priority="63" stopIfTrue="1">
      <formula>D8=""</formula>
    </cfRule>
  </conditionalFormatting>
  <conditionalFormatting sqref="E8">
    <cfRule type="expression" dxfId="90" priority="64" stopIfTrue="1">
      <formula>E8=""</formula>
    </cfRule>
  </conditionalFormatting>
  <conditionalFormatting sqref="F8">
    <cfRule type="expression" dxfId="89" priority="65" stopIfTrue="1">
      <formula>F8=""</formula>
    </cfRule>
  </conditionalFormatting>
  <conditionalFormatting sqref="G8">
    <cfRule type="expression" dxfId="88" priority="66" stopIfTrue="1">
      <formula>G8=""</formula>
    </cfRule>
  </conditionalFormatting>
  <conditionalFormatting sqref="H8">
    <cfRule type="expression" dxfId="87" priority="67" stopIfTrue="1">
      <formula>H8=""</formula>
    </cfRule>
  </conditionalFormatting>
  <conditionalFormatting sqref="I8">
    <cfRule type="expression" dxfId="86" priority="68" stopIfTrue="1">
      <formula>I8=""</formula>
    </cfRule>
  </conditionalFormatting>
  <conditionalFormatting sqref="J8">
    <cfRule type="expression" dxfId="85" priority="69" stopIfTrue="1">
      <formula>J8=""</formula>
    </cfRule>
  </conditionalFormatting>
  <conditionalFormatting sqref="K8">
    <cfRule type="expression" dxfId="84" priority="70" stopIfTrue="1">
      <formula>K8=""</formula>
    </cfRule>
  </conditionalFormatting>
  <conditionalFormatting sqref="D9">
    <cfRule type="expression" dxfId="81" priority="73" stopIfTrue="1">
      <formula>D9=""</formula>
    </cfRule>
  </conditionalFormatting>
  <conditionalFormatting sqref="E9">
    <cfRule type="expression" dxfId="80" priority="74" stopIfTrue="1">
      <formula>E9=""</formula>
    </cfRule>
  </conditionalFormatting>
  <conditionalFormatting sqref="F9">
    <cfRule type="expression" dxfId="79" priority="75" stopIfTrue="1">
      <formula>F9=""</formula>
    </cfRule>
  </conditionalFormatting>
  <conditionalFormatting sqref="G9">
    <cfRule type="expression" dxfId="78" priority="76" stopIfTrue="1">
      <formula>G9=""</formula>
    </cfRule>
  </conditionalFormatting>
  <conditionalFormatting sqref="H9">
    <cfRule type="expression" dxfId="77" priority="77" stopIfTrue="1">
      <formula>H9=""</formula>
    </cfRule>
  </conditionalFormatting>
  <conditionalFormatting sqref="I9">
    <cfRule type="expression" dxfId="76" priority="78" stopIfTrue="1">
      <formula>I9=""</formula>
    </cfRule>
  </conditionalFormatting>
  <conditionalFormatting sqref="J9">
    <cfRule type="expression" dxfId="75" priority="79" stopIfTrue="1">
      <formula>J9=""</formula>
    </cfRule>
  </conditionalFormatting>
  <conditionalFormatting sqref="K9">
    <cfRule type="expression" dxfId="74" priority="80" stopIfTrue="1">
      <formula>K9=""</formula>
    </cfRule>
  </conditionalFormatting>
  <conditionalFormatting sqref="D10">
    <cfRule type="expression" dxfId="71" priority="83" stopIfTrue="1">
      <formula>D10=""</formula>
    </cfRule>
  </conditionalFormatting>
  <conditionalFormatting sqref="E10">
    <cfRule type="expression" dxfId="70" priority="84" stopIfTrue="1">
      <formula>E10=""</formula>
    </cfRule>
  </conditionalFormatting>
  <conditionalFormatting sqref="F10">
    <cfRule type="expression" dxfId="69" priority="85" stopIfTrue="1">
      <formula>F10=""</formula>
    </cfRule>
  </conditionalFormatting>
  <conditionalFormatting sqref="G10">
    <cfRule type="expression" dxfId="68" priority="86" stopIfTrue="1">
      <formula>G10=""</formula>
    </cfRule>
  </conditionalFormatting>
  <conditionalFormatting sqref="H10">
    <cfRule type="expression" dxfId="67" priority="87" stopIfTrue="1">
      <formula>H10=""</formula>
    </cfRule>
  </conditionalFormatting>
  <conditionalFormatting sqref="I10">
    <cfRule type="expression" dxfId="66" priority="88" stopIfTrue="1">
      <formula>I10=""</formula>
    </cfRule>
  </conditionalFormatting>
  <conditionalFormatting sqref="J10">
    <cfRule type="expression" dxfId="65" priority="89" stopIfTrue="1">
      <formula>J10=""</formula>
    </cfRule>
  </conditionalFormatting>
  <conditionalFormatting sqref="K10">
    <cfRule type="expression" dxfId="64" priority="90" stopIfTrue="1">
      <formula>K10=""</formula>
    </cfRule>
  </conditionalFormatting>
  <conditionalFormatting sqref="D11">
    <cfRule type="expression" dxfId="61" priority="93" stopIfTrue="1">
      <formula>D11=""</formula>
    </cfRule>
  </conditionalFormatting>
  <conditionalFormatting sqref="E11">
    <cfRule type="expression" dxfId="60" priority="94" stopIfTrue="1">
      <formula>E11=""</formula>
    </cfRule>
  </conditionalFormatting>
  <conditionalFormatting sqref="F11">
    <cfRule type="expression" dxfId="59" priority="95" stopIfTrue="1">
      <formula>F11=""</formula>
    </cfRule>
  </conditionalFormatting>
  <conditionalFormatting sqref="G11">
    <cfRule type="expression" dxfId="58" priority="96" stopIfTrue="1">
      <formula>G11=""</formula>
    </cfRule>
  </conditionalFormatting>
  <conditionalFormatting sqref="H11">
    <cfRule type="expression" dxfId="57" priority="97" stopIfTrue="1">
      <formula>H11=""</formula>
    </cfRule>
  </conditionalFormatting>
  <conditionalFormatting sqref="I11">
    <cfRule type="expression" dxfId="56" priority="98" stopIfTrue="1">
      <formula>I11=""</formula>
    </cfRule>
  </conditionalFormatting>
  <conditionalFormatting sqref="J11">
    <cfRule type="expression" dxfId="55" priority="99" stopIfTrue="1">
      <formula>J11=""</formula>
    </cfRule>
  </conditionalFormatting>
  <conditionalFormatting sqref="K11">
    <cfRule type="expression" dxfId="54" priority="100" stopIfTrue="1">
      <formula>K11=""</formula>
    </cfRule>
  </conditionalFormatting>
  <conditionalFormatting sqref="D12">
    <cfRule type="expression" dxfId="51" priority="103" stopIfTrue="1">
      <formula>D12=""</formula>
    </cfRule>
  </conditionalFormatting>
  <conditionalFormatting sqref="E12">
    <cfRule type="expression" dxfId="50" priority="104" stopIfTrue="1">
      <formula>E12=""</formula>
    </cfRule>
  </conditionalFormatting>
  <conditionalFormatting sqref="F12">
    <cfRule type="expression" dxfId="49" priority="105" stopIfTrue="1">
      <formula>F12=""</formula>
    </cfRule>
  </conditionalFormatting>
  <conditionalFormatting sqref="G12">
    <cfRule type="expression" dxfId="48" priority="106" stopIfTrue="1">
      <formula>G12=""</formula>
    </cfRule>
  </conditionalFormatting>
  <conditionalFormatting sqref="H12">
    <cfRule type="expression" dxfId="47" priority="107" stopIfTrue="1">
      <formula>H12=""</formula>
    </cfRule>
  </conditionalFormatting>
  <conditionalFormatting sqref="I12">
    <cfRule type="expression" dxfId="46" priority="108" stopIfTrue="1">
      <formula>I12=""</formula>
    </cfRule>
  </conditionalFormatting>
  <conditionalFormatting sqref="J12">
    <cfRule type="expression" dxfId="45" priority="109" stopIfTrue="1">
      <formula>J12=""</formula>
    </cfRule>
  </conditionalFormatting>
  <conditionalFormatting sqref="K12">
    <cfRule type="expression" dxfId="44" priority="110" stopIfTrue="1">
      <formula>K12=""</formula>
    </cfRule>
  </conditionalFormatting>
  <conditionalFormatting sqref="B14:B17">
    <cfRule type="expression" dxfId="43" priority="111" stopIfTrue="1">
      <formula>($B$17&gt;0)</formula>
    </cfRule>
  </conditionalFormatting>
  <conditionalFormatting sqref="B14:B17">
    <cfRule type="expression" dxfId="42" priority="112" stopIfTrue="1">
      <formula>OR($B$15&gt;0,$B$16&gt;0)</formula>
    </cfRule>
  </conditionalFormatting>
  <conditionalFormatting sqref="B14:B17">
    <cfRule type="expression" dxfId="41" priority="113" stopIfTrue="1">
      <formula>AND($B$15=0,$B$16=0,$B$17=0)</formula>
    </cfRule>
  </conditionalFormatting>
  <conditionalFormatting sqref="C14:C17">
    <cfRule type="expression" dxfId="40" priority="114" stopIfTrue="1">
      <formula>($C$17&gt;0)</formula>
    </cfRule>
  </conditionalFormatting>
  <conditionalFormatting sqref="C14:C17">
    <cfRule type="expression" dxfId="39" priority="115" stopIfTrue="1">
      <formula>OR($C$15&gt;0,$C$16&gt;0)</formula>
    </cfRule>
  </conditionalFormatting>
  <conditionalFormatting sqref="C14:C17">
    <cfRule type="expression" dxfId="38" priority="116" stopIfTrue="1">
      <formula>AND($C$15=0,$C$16=0,$C$17=0)</formula>
    </cfRule>
  </conditionalFormatting>
  <conditionalFormatting sqref="D14:D17">
    <cfRule type="expression" dxfId="37" priority="117" stopIfTrue="1">
      <formula>($D$17&gt;0)</formula>
    </cfRule>
  </conditionalFormatting>
  <conditionalFormatting sqref="D14:D17">
    <cfRule type="expression" dxfId="36" priority="118" stopIfTrue="1">
      <formula>OR($D$15&gt;0,$D$16&gt;0)</formula>
    </cfRule>
  </conditionalFormatting>
  <conditionalFormatting sqref="D14:D17">
    <cfRule type="expression" dxfId="35" priority="119" stopIfTrue="1">
      <formula>AND($D$15=0,$D$16=0,$D$17=0)</formula>
    </cfRule>
  </conditionalFormatting>
  <conditionalFormatting sqref="E14:E17">
    <cfRule type="expression" dxfId="34" priority="120" stopIfTrue="1">
      <formula>($E$17&gt;0)</formula>
    </cfRule>
  </conditionalFormatting>
  <conditionalFormatting sqref="E14:E17">
    <cfRule type="expression" dxfId="33" priority="121" stopIfTrue="1">
      <formula>OR($E$15&gt;0,$E$16&gt;0)</formula>
    </cfRule>
  </conditionalFormatting>
  <conditionalFormatting sqref="E14:E17">
    <cfRule type="expression" dxfId="32" priority="122" stopIfTrue="1">
      <formula>AND($E$15=0,$E$16=0,$E$17=0)</formula>
    </cfRule>
  </conditionalFormatting>
  <conditionalFormatting sqref="F14:F17">
    <cfRule type="expression" dxfId="31" priority="123" stopIfTrue="1">
      <formula>($F$17&gt;0)</formula>
    </cfRule>
  </conditionalFormatting>
  <conditionalFormatting sqref="F14:F17">
    <cfRule type="expression" dxfId="30" priority="124" stopIfTrue="1">
      <formula>OR($F$15&gt;0,$F$16&gt;0)</formula>
    </cfRule>
  </conditionalFormatting>
  <conditionalFormatting sqref="F14:F17">
    <cfRule type="expression" dxfId="29" priority="125" stopIfTrue="1">
      <formula>AND($F$15=0,$F$16=0,$F$17=0)</formula>
    </cfRule>
  </conditionalFormatting>
  <conditionalFormatting sqref="G14:G17">
    <cfRule type="expression" dxfId="28" priority="126" stopIfTrue="1">
      <formula>($G$17&gt;0)</formula>
    </cfRule>
  </conditionalFormatting>
  <conditionalFormatting sqref="G14:G17">
    <cfRule type="expression" dxfId="27" priority="127" stopIfTrue="1">
      <formula>OR($G$15&gt;0,$G$16&gt;0)</formula>
    </cfRule>
  </conditionalFormatting>
  <conditionalFormatting sqref="G14:G17">
    <cfRule type="expression" dxfId="26" priority="128" stopIfTrue="1">
      <formula>AND($G$15=0,$G$16=0,$G$17=0)</formula>
    </cfRule>
  </conditionalFormatting>
  <conditionalFormatting sqref="H14:H17">
    <cfRule type="expression" dxfId="25" priority="129" stopIfTrue="1">
      <formula>($H$17&gt;0)</formula>
    </cfRule>
  </conditionalFormatting>
  <conditionalFormatting sqref="H14:H17">
    <cfRule type="expression" dxfId="24" priority="130" stopIfTrue="1">
      <formula>OR($H$15&gt;0,$H$16&gt;0)</formula>
    </cfRule>
  </conditionalFormatting>
  <conditionalFormatting sqref="H14:H17">
    <cfRule type="expression" dxfId="23" priority="131" stopIfTrue="1">
      <formula>AND($H$15=0,$H$16=0,$H$17=0)</formula>
    </cfRule>
  </conditionalFormatting>
  <conditionalFormatting sqref="I14:I17">
    <cfRule type="expression" dxfId="22" priority="132" stopIfTrue="1">
      <formula>($I$17&gt;0)</formula>
    </cfRule>
  </conditionalFormatting>
  <conditionalFormatting sqref="I14:I17">
    <cfRule type="expression" dxfId="21" priority="133" stopIfTrue="1">
      <formula>OR($I$15&gt;0,$I$16&gt;0)</formula>
    </cfRule>
  </conditionalFormatting>
  <conditionalFormatting sqref="I14:I17">
    <cfRule type="expression" dxfId="20" priority="134" stopIfTrue="1">
      <formula>AND($I$15=0,$I$16=0,$I$17=0)</formula>
    </cfRule>
  </conditionalFormatting>
  <conditionalFormatting sqref="J14:J17">
    <cfRule type="expression" dxfId="19" priority="135" stopIfTrue="1">
      <formula>($J$17&gt;0)</formula>
    </cfRule>
  </conditionalFormatting>
  <conditionalFormatting sqref="J14:J17">
    <cfRule type="expression" dxfId="18" priority="136" stopIfTrue="1">
      <formula>OR($J$15&gt;0,$J$16&gt;0)</formula>
    </cfRule>
  </conditionalFormatting>
  <conditionalFormatting sqref="J14:J17">
    <cfRule type="expression" dxfId="17" priority="137" stopIfTrue="1">
      <formula>AND($J$15=0,$J$16=0,$J$17=0)</formula>
    </cfRule>
  </conditionalFormatting>
  <conditionalFormatting sqref="K14:K17">
    <cfRule type="expression" dxfId="16" priority="138" stopIfTrue="1">
      <formula>($K$17&gt;0)</formula>
    </cfRule>
  </conditionalFormatting>
  <conditionalFormatting sqref="K14:K17">
    <cfRule type="expression" dxfId="15" priority="139" stopIfTrue="1">
      <formula>OR($K$15&gt;0,$K$16&gt;0)</formula>
    </cfRule>
  </conditionalFormatting>
  <conditionalFormatting sqref="K14:K17">
    <cfRule type="expression" dxfId="14" priority="140" stopIfTrue="1">
      <formula>AND($K$15=0,$K$16=0,$K$17=0)</formula>
    </cfRule>
  </conditionalFormatting>
  <dataValidations count="1">
    <dataValidation type="list" allowBlank="1" showInputMessage="1" showErrorMessage="1" sqref="B2:K12" xr:uid="{06ED33D9-1D52-4577-8377-4B041E043A34}">
      <formula1>"出席,欠席,不明"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498C-79F5-4BAF-B852-7714592A52C1}">
  <sheetPr codeName="Sheet15"/>
  <dimension ref="A1:L12"/>
  <sheetViews>
    <sheetView tabSelected="1" workbookViewId="0">
      <selection activeCell="G26" sqref="G26"/>
    </sheetView>
  </sheetViews>
  <sheetFormatPr defaultRowHeight="18.75"/>
  <cols>
    <col min="1" max="1" width="15.625" customWidth="1"/>
    <col min="2" max="2" width="10.625" customWidth="1"/>
  </cols>
  <sheetData>
    <row r="1" spans="1:12">
      <c r="A1" s="1" t="s">
        <v>17</v>
      </c>
      <c r="B1" s="1" t="s">
        <v>67</v>
      </c>
      <c r="D1" s="1" t="s">
        <v>64</v>
      </c>
      <c r="E1" s="1" t="s">
        <v>17</v>
      </c>
      <c r="F1" s="1" t="s">
        <v>66</v>
      </c>
      <c r="G1" s="1" t="s">
        <v>67</v>
      </c>
      <c r="I1" s="1"/>
      <c r="J1" s="1" t="s">
        <v>21</v>
      </c>
      <c r="K1" s="1" t="s">
        <v>23</v>
      </c>
      <c r="L1" s="1" t="s">
        <v>58</v>
      </c>
    </row>
    <row r="2" spans="1:12">
      <c r="A2" s="11" t="s">
        <v>21</v>
      </c>
      <c r="B2" s="2"/>
      <c r="D2" s="11" t="s">
        <v>20</v>
      </c>
      <c r="E2" s="11" t="s">
        <v>21</v>
      </c>
      <c r="F2" s="11" t="str">
        <f>INDEX('TEST歓迎会(出欠管理)'!A1:K12,MATCH("A",'TEST歓迎会(出欠管理)'!A1:A12,0),MATCH(B6,'TEST歓迎会(出欠管理)'!A1:K1,0)) &amp; ""</f>
        <v>出席</v>
      </c>
      <c r="G2" s="11">
        <f>IF(F2="出席",VLOOKUP(E2,A2:B4,2,FALSE),0)</f>
        <v>0</v>
      </c>
      <c r="I2" s="1" t="s">
        <v>57</v>
      </c>
      <c r="J2" s="11">
        <f>COUNTIFS(F2:F12,"出席",E2:E12,"総合職")</f>
        <v>4</v>
      </c>
      <c r="K2" s="11">
        <f>COUNTIFS(F2:F12,"出席",E2:E12,"基幹職")</f>
        <v>4</v>
      </c>
      <c r="L2" s="11">
        <f>COUNTIFS(F2:F12,"出席",E2:E12,"ライン職")</f>
        <v>2</v>
      </c>
    </row>
    <row r="3" spans="1:12">
      <c r="A3" s="11" t="s">
        <v>23</v>
      </c>
      <c r="B3" s="2"/>
      <c r="D3" s="11" t="s">
        <v>22</v>
      </c>
      <c r="E3" s="11" t="s">
        <v>23</v>
      </c>
      <c r="F3" s="11" t="str">
        <f>INDEX('TEST歓迎会(出欠管理)'!A1:K12,MATCH("B",'TEST歓迎会(出欠管理)'!A1:A12,0),MATCH(B6,'TEST歓迎会(出欠管理)'!A1:K1,0)) &amp; ""</f>
        <v>出席</v>
      </c>
      <c r="G3" s="11">
        <f>IF(F3="出席",VLOOKUP(E3,A2:B4,2,FALSE),0)</f>
        <v>0</v>
      </c>
      <c r="I3" s="1" t="s">
        <v>62</v>
      </c>
      <c r="J3" s="11">
        <f>COUNTIFS(F2:F12,"欠席",E2:E12,"総合職")</f>
        <v>0</v>
      </c>
      <c r="K3" s="11">
        <f>COUNTIFS(F2:F12,"欠席",E2:E12,"基幹職")</f>
        <v>1</v>
      </c>
      <c r="L3" s="11">
        <f>COUNTIFS(F2:F12,"欠席",E2:E12,"ライン職")</f>
        <v>0</v>
      </c>
    </row>
    <row r="4" spans="1:12">
      <c r="A4" s="11" t="s">
        <v>58</v>
      </c>
      <c r="B4" s="2"/>
      <c r="D4" s="11" t="s">
        <v>24</v>
      </c>
      <c r="E4" s="11" t="s">
        <v>21</v>
      </c>
      <c r="F4" s="11" t="str">
        <f>INDEX('TEST歓迎会(出欠管理)'!A1:K12,MATCH("C",'TEST歓迎会(出欠管理)'!A1:A12,0),MATCH(B6,'TEST歓迎会(出欠管理)'!A1:K1,0)) &amp; ""</f>
        <v>出席</v>
      </c>
      <c r="G4" s="11">
        <f>IF(F4="出席",VLOOKUP(E4,A2:B4,2,FALSE),0)</f>
        <v>0</v>
      </c>
      <c r="I4" s="1" t="s">
        <v>63</v>
      </c>
      <c r="J4" s="11">
        <f>COUNTIFS(F2:F12,"不明",E2:E12,"総合職")</f>
        <v>0</v>
      </c>
      <c r="K4" s="11">
        <f>COUNTIFS(F2:F12,"不明",E2:E12,"基幹職")</f>
        <v>0</v>
      </c>
      <c r="L4" s="11">
        <f>COUNTIFS(F2:F12,"不明",E2:E12,"ライン職")</f>
        <v>0</v>
      </c>
    </row>
    <row r="5" spans="1:12">
      <c r="D5" s="11" t="s">
        <v>25</v>
      </c>
      <c r="E5" s="11" t="s">
        <v>21</v>
      </c>
      <c r="F5" s="11" t="str">
        <f>INDEX('TEST歓迎会(出欠管理)'!A1:K12,MATCH("D",'TEST歓迎会(出欠管理)'!A1:A12,0),MATCH(B6,'TEST歓迎会(出欠管理)'!A1:K1,0)) &amp; ""</f>
        <v>出席</v>
      </c>
      <c r="G5" s="11">
        <f>IF(F5="出席",VLOOKUP(E5,A2:B4,2,FALSE),0)</f>
        <v>0</v>
      </c>
      <c r="I5" s="1" t="s">
        <v>65</v>
      </c>
      <c r="J5" s="11">
        <f>COUNTIFS(F2:F12,"",E2:E12,"総合職")</f>
        <v>0</v>
      </c>
      <c r="K5" s="11">
        <f>COUNTIFS(F2:F12,"",E2:E12,"基幹職")</f>
        <v>0</v>
      </c>
      <c r="L5" s="11">
        <f>COUNTIFS(F2:F12,"",E2:E12,"ライン職")</f>
        <v>0</v>
      </c>
    </row>
    <row r="6" spans="1:12">
      <c r="A6" s="1" t="s">
        <v>59</v>
      </c>
      <c r="B6" s="5">
        <v>43970</v>
      </c>
      <c r="D6" s="11" t="s">
        <v>26</v>
      </c>
      <c r="E6" s="11" t="s">
        <v>21</v>
      </c>
      <c r="F6" s="11" t="str">
        <f>INDEX('TEST歓迎会(出欠管理)'!A1:K12,MATCH("E",'TEST歓迎会(出欠管理)'!A1:A12,0),MATCH(B6,'TEST歓迎会(出欠管理)'!A1:K1,0)) &amp; ""</f>
        <v>出席</v>
      </c>
      <c r="G6" s="11">
        <f>IF(F6="出席",VLOOKUP(E6,A2:B4,2,FALSE),0)</f>
        <v>0</v>
      </c>
    </row>
    <row r="7" spans="1:12">
      <c r="A7" s="1" t="s">
        <v>70</v>
      </c>
      <c r="B7" s="2"/>
      <c r="D7" s="11" t="s">
        <v>27</v>
      </c>
      <c r="E7" s="11" t="s">
        <v>23</v>
      </c>
      <c r="F7" s="11" t="str">
        <f>INDEX('TEST歓迎会(出欠管理)'!A1:K12,MATCH("F",'TEST歓迎会(出欠管理)'!A1:A12,0),MATCH(B6,'TEST歓迎会(出欠管理)'!A1:K1,0)) &amp; ""</f>
        <v>出席</v>
      </c>
      <c r="G7" s="11">
        <f>IF(F7="出席",VLOOKUP(E7,A2:B4,2,FALSE),0)</f>
        <v>0</v>
      </c>
    </row>
    <row r="8" spans="1:12">
      <c r="A8" s="1" t="s">
        <v>71</v>
      </c>
      <c r="B8" s="11">
        <f>COUNTIF(F2:F12,"出席")*B7</f>
        <v>0</v>
      </c>
      <c r="D8" s="11" t="s">
        <v>28</v>
      </c>
      <c r="E8" s="11" t="s">
        <v>23</v>
      </c>
      <c r="F8" s="11" t="str">
        <f>INDEX('TEST歓迎会(出欠管理)'!A1:K12,MATCH("G",'TEST歓迎会(出欠管理)'!A1:A12,0),MATCH(B6,'TEST歓迎会(出欠管理)'!A1:K1,0)) &amp; ""</f>
        <v>出席</v>
      </c>
      <c r="G8" s="11">
        <f>IF(F8="出席",VLOOKUP(E8,A2:B4,2,FALSE),0)</f>
        <v>0</v>
      </c>
    </row>
    <row r="9" spans="1:12">
      <c r="A9" s="1" t="s">
        <v>72</v>
      </c>
      <c r="B9" s="11">
        <f>SUM(G2:G12)</f>
        <v>0</v>
      </c>
      <c r="D9" s="11" t="s">
        <v>29</v>
      </c>
      <c r="E9" s="11" t="s">
        <v>58</v>
      </c>
      <c r="F9" s="11" t="str">
        <f>INDEX('TEST歓迎会(出欠管理)'!A1:K12,MATCH("H",'TEST歓迎会(出欠管理)'!A1:A12,0),MATCH(B6,'TEST歓迎会(出欠管理)'!A1:K1,0)) &amp; ""</f>
        <v>出席</v>
      </c>
      <c r="G9" s="11">
        <f>IF(F9="出席",VLOOKUP(E9,A2:B4,2,FALSE),0)</f>
        <v>0</v>
      </c>
    </row>
    <row r="10" spans="1:12">
      <c r="A10" s="1" t="s">
        <v>73</v>
      </c>
      <c r="B10" s="11">
        <f>B9-B8</f>
        <v>0</v>
      </c>
      <c r="D10" s="11" t="s">
        <v>30</v>
      </c>
      <c r="E10" s="11" t="s">
        <v>23</v>
      </c>
      <c r="F10" s="11" t="str">
        <f>INDEX('TEST歓迎会(出欠管理)'!A1:K12,MATCH("I",'TEST歓迎会(出欠管理)'!A1:A12,0),MATCH(B6,'TEST歓迎会(出欠管理)'!A1:K1,0)) &amp; ""</f>
        <v>欠席</v>
      </c>
      <c r="G10" s="11">
        <f>IF(F10="出席",VLOOKUP(E10,A2:B4,2,FALSE),0)</f>
        <v>0</v>
      </c>
    </row>
    <row r="11" spans="1:12">
      <c r="D11" s="11" t="s">
        <v>31</v>
      </c>
      <c r="E11" s="11" t="s">
        <v>23</v>
      </c>
      <c r="F11" s="11" t="str">
        <f>INDEX('TEST歓迎会(出欠管理)'!A1:K12,MATCH("J",'TEST歓迎会(出欠管理)'!A1:A12,0),MATCH(B6,'TEST歓迎会(出欠管理)'!A1:K1,0)) &amp; ""</f>
        <v>出席</v>
      </c>
      <c r="G11" s="11">
        <f>IF(F11="出席",VLOOKUP(E11,A2:B4,2,FALSE),0)</f>
        <v>0</v>
      </c>
    </row>
    <row r="12" spans="1:12">
      <c r="D12" s="11" t="s">
        <v>32</v>
      </c>
      <c r="E12" s="11" t="s">
        <v>58</v>
      </c>
      <c r="F12" s="11" t="str">
        <f>INDEX('TEST歓迎会(出欠管理)'!A1:K12,MATCH("K",'TEST歓迎会(出欠管理)'!A1:A12,0),MATCH(B6,'TEST歓迎会(出欠管理)'!A1:K1,0)) &amp; ""</f>
        <v>出席</v>
      </c>
      <c r="G12" s="11">
        <f>IF(F12="出席",VLOOKUP(E12,A2:B4,2,FALSE),0)</f>
        <v>0</v>
      </c>
    </row>
  </sheetData>
  <phoneticPr fontId="2"/>
  <conditionalFormatting sqref="B2">
    <cfRule type="expression" dxfId="13" priority="1" stopIfTrue="1">
      <formula>B2=""</formula>
    </cfRule>
  </conditionalFormatting>
  <conditionalFormatting sqref="B3">
    <cfRule type="expression" dxfId="12" priority="2" stopIfTrue="1">
      <formula>B3=""</formula>
    </cfRule>
  </conditionalFormatting>
  <conditionalFormatting sqref="B4">
    <cfRule type="expression" dxfId="11" priority="3" stopIfTrue="1">
      <formula>B4=""</formula>
    </cfRule>
  </conditionalFormatting>
  <conditionalFormatting sqref="B6">
    <cfRule type="expression" dxfId="10" priority="4" stopIfTrue="1">
      <formula>B6=""</formula>
    </cfRule>
  </conditionalFormatting>
  <conditionalFormatting sqref="J2:J5">
    <cfRule type="expression" dxfId="9" priority="5" stopIfTrue="1">
      <formula>($J$5&gt;0)</formula>
    </cfRule>
    <cfRule type="expression" dxfId="8" priority="6" stopIfTrue="1">
      <formula>OR($J$3&gt;0,$J$4&gt;0)</formula>
    </cfRule>
    <cfRule type="expression" dxfId="7" priority="7" stopIfTrue="1">
      <formula>AND($J$3=0,$J$4=0,$J$5=0)</formula>
    </cfRule>
  </conditionalFormatting>
  <conditionalFormatting sqref="K2:K5">
    <cfRule type="expression" dxfId="6" priority="8" stopIfTrue="1">
      <formula>($K$5&gt;0)</formula>
    </cfRule>
    <cfRule type="expression" dxfId="5" priority="9" stopIfTrue="1">
      <formula>OR($K$3&gt;0,$K$4&gt;0)</formula>
    </cfRule>
    <cfRule type="expression" dxfId="4" priority="10" stopIfTrue="1">
      <formula>AND($K$3=0,$K$4=0,$K$5=0)</formula>
    </cfRule>
  </conditionalFormatting>
  <conditionalFormatting sqref="L2:L5">
    <cfRule type="expression" dxfId="3" priority="11" stopIfTrue="1">
      <formula>($L$5&gt;0)</formula>
    </cfRule>
    <cfRule type="expression" dxfId="2" priority="12" stopIfTrue="1">
      <formula>OR($L$3&gt;0,$L$4&gt;0)</formula>
    </cfRule>
    <cfRule type="expression" dxfId="1" priority="13" stopIfTrue="1">
      <formula>AND($L$3=0,$L$4=0,$L$5=0)</formula>
    </cfRule>
  </conditionalFormatting>
  <conditionalFormatting sqref="B7">
    <cfRule type="expression" dxfId="0" priority="14" stopIfTrue="1">
      <formula>B7=""</formula>
    </cfRule>
  </conditionalFormatting>
  <dataValidations count="1">
    <dataValidation type="list" allowBlank="1" showInputMessage="1" showErrorMessage="1" sqref="B6" xr:uid="{05092C67-AF67-40A4-9DBD-F910C216021D}">
      <formula1>",2020/05/18,,2020/05/19,,2020/05/20,,2020/05/21,,2020/05/22,,2020/05/25,,2020/05/26,,2020/05/27,,2020/05/28,,2020/05/29"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4F07-C893-4544-985A-72F9A6A82ABD}">
  <sheetPr codeName="Sheet2"/>
  <dimension ref="A1:D12"/>
  <sheetViews>
    <sheetView workbookViewId="0">
      <selection activeCell="B31" sqref="B31"/>
    </sheetView>
  </sheetViews>
  <sheetFormatPr defaultRowHeight="18.75"/>
  <cols>
    <col min="1" max="2" width="15.625" customWidth="1"/>
    <col min="3" max="4" width="30.625" customWidth="1"/>
  </cols>
  <sheetData>
    <row r="1" spans="1:4">
      <c r="A1" s="3" t="s">
        <v>33</v>
      </c>
      <c r="B1" s="3" t="s">
        <v>34</v>
      </c>
      <c r="C1" s="3" t="s">
        <v>18</v>
      </c>
      <c r="D1" s="3" t="s">
        <v>19</v>
      </c>
    </row>
    <row r="2" spans="1:4">
      <c r="A2" s="2" t="s">
        <v>20</v>
      </c>
      <c r="B2" s="2" t="s">
        <v>0</v>
      </c>
      <c r="C2" s="2" t="s">
        <v>35</v>
      </c>
      <c r="D2" s="2" t="s">
        <v>36</v>
      </c>
    </row>
    <row r="3" spans="1:4">
      <c r="A3" s="2" t="s">
        <v>22</v>
      </c>
      <c r="B3" s="2" t="s">
        <v>2</v>
      </c>
      <c r="C3" s="2" t="s">
        <v>37</v>
      </c>
      <c r="D3" s="2" t="s">
        <v>38</v>
      </c>
    </row>
    <row r="4" spans="1:4">
      <c r="A4" s="2" t="s">
        <v>24</v>
      </c>
      <c r="B4" s="2" t="s">
        <v>0</v>
      </c>
      <c r="C4" s="2" t="s">
        <v>39</v>
      </c>
      <c r="D4" s="2" t="s">
        <v>40</v>
      </c>
    </row>
    <row r="5" spans="1:4">
      <c r="A5" s="2" t="s">
        <v>25</v>
      </c>
      <c r="B5" s="2" t="s">
        <v>0</v>
      </c>
      <c r="C5" s="2" t="s">
        <v>41</v>
      </c>
      <c r="D5" s="2" t="s">
        <v>42</v>
      </c>
    </row>
    <row r="6" spans="1:4">
      <c r="A6" s="2" t="s">
        <v>26</v>
      </c>
      <c r="B6" s="2" t="s">
        <v>0</v>
      </c>
      <c r="C6" s="2" t="s">
        <v>43</v>
      </c>
      <c r="D6" s="2" t="s">
        <v>44</v>
      </c>
    </row>
    <row r="7" spans="1:4">
      <c r="A7" s="2" t="s">
        <v>27</v>
      </c>
      <c r="B7" s="2" t="s">
        <v>2</v>
      </c>
      <c r="C7" s="2" t="s">
        <v>45</v>
      </c>
      <c r="D7" s="2" t="s">
        <v>46</v>
      </c>
    </row>
    <row r="8" spans="1:4">
      <c r="A8" s="2" t="s">
        <v>28</v>
      </c>
      <c r="B8" s="2" t="s">
        <v>2</v>
      </c>
      <c r="C8" s="2" t="s">
        <v>47</v>
      </c>
      <c r="D8" s="2" t="s">
        <v>48</v>
      </c>
    </row>
    <row r="9" spans="1:4">
      <c r="A9" s="2" t="s">
        <v>29</v>
      </c>
      <c r="B9" s="2" t="s">
        <v>4</v>
      </c>
      <c r="C9" s="2" t="s">
        <v>49</v>
      </c>
      <c r="D9" s="2" t="s">
        <v>50</v>
      </c>
    </row>
    <row r="10" spans="1:4">
      <c r="A10" s="2" t="s">
        <v>30</v>
      </c>
      <c r="B10" s="2" t="s">
        <v>2</v>
      </c>
      <c r="C10" s="2" t="s">
        <v>51</v>
      </c>
      <c r="D10" s="2" t="s">
        <v>52</v>
      </c>
    </row>
    <row r="11" spans="1:4">
      <c r="A11" s="2" t="s">
        <v>31</v>
      </c>
      <c r="B11" s="2" t="s">
        <v>2</v>
      </c>
      <c r="C11" s="2" t="s">
        <v>53</v>
      </c>
      <c r="D11" s="2" t="s">
        <v>54</v>
      </c>
    </row>
    <row r="12" spans="1:4">
      <c r="A12" s="2" t="s">
        <v>32</v>
      </c>
      <c r="B12" s="2" t="s">
        <v>4</v>
      </c>
      <c r="C12" s="2" t="s">
        <v>55</v>
      </c>
      <c r="D12" s="2" t="s">
        <v>56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34FA-DC89-4E54-A09F-71E650869E35}">
  <sheetPr codeName="Sheet3"/>
  <dimension ref="A1:B3"/>
  <sheetViews>
    <sheetView workbookViewId="0">
      <selection activeCell="F5" sqref="F5"/>
    </sheetView>
  </sheetViews>
  <sheetFormatPr defaultRowHeight="18.75"/>
  <sheetData>
    <row r="1" spans="1:2">
      <c r="A1" t="s">
        <v>5</v>
      </c>
      <c r="B1" s="6" t="s">
        <v>68</v>
      </c>
    </row>
    <row r="2" spans="1:2">
      <c r="A2" t="s">
        <v>6</v>
      </c>
    </row>
    <row r="3" spans="1:2">
      <c r="A3" t="s">
        <v>7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56983-E76C-4B01-8A91-5C8B0F5C80BF}">
  <sheetPr codeName="Sheet4"/>
  <dimension ref="A1:A3"/>
  <sheetViews>
    <sheetView workbookViewId="0">
      <selection activeCell="C21" sqref="C21"/>
    </sheetView>
  </sheetViews>
  <sheetFormatPr defaultRowHeight="18.75"/>
  <sheetData>
    <row r="1" spans="1:1">
      <c r="A1" t="s">
        <v>1</v>
      </c>
    </row>
    <row r="2" spans="1:1">
      <c r="A2" t="s">
        <v>3</v>
      </c>
    </row>
    <row r="3" spans="1:1">
      <c r="A3" t="s">
        <v>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自動生成用シート</vt:lpstr>
      <vt:lpstr>TEST歓迎会(出欠管理)</vt:lpstr>
      <vt:lpstr>TEST歓迎会(会費管理)</vt:lpstr>
      <vt:lpstr>&lt;メンバ管理マスタ&gt;</vt:lpstr>
      <vt:lpstr>&lt;出欠プルダウン&gt;</vt:lpstr>
      <vt:lpstr>&lt;階級プルダウン&gt;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tomonori sakagami</dc:creator>
  <cp:lastModifiedBy>tomonori sakagami</cp:lastModifiedBy>
  <dcterms:created xsi:type="dcterms:W3CDTF">2015-06-05T18:19:34Z</dcterms:created>
  <dcterms:modified xsi:type="dcterms:W3CDTF">2020-05-28T07:31:43Z</dcterms:modified>
</cp:coreProperties>
</file>