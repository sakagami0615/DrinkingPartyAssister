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E:\programs\develops\DrinkingPartyAssister\"/>
    </mc:Choice>
  </mc:AlternateContent>
  <xr:revisionPtr revIDLastSave="0" documentId="13_ncr:1_{504251F7-9083-4616-876D-BD0CB3343931}" xr6:coauthVersionLast="45" xr6:coauthVersionMax="45" xr10:uidLastSave="{00000000-0000-0000-0000-000000000000}"/>
  <bookViews>
    <workbookView xWindow="28680" yWindow="-45" windowWidth="29040" windowHeight="15840" activeTab="4" xr2:uid="{00000000-000D-0000-FFFF-FFFF00000000}"/>
  </bookViews>
  <sheets>
    <sheet name="自動生成用シート" sheetId="1" r:id="rId1"/>
    <sheet name="TEST歓迎会2(会費管理)" sheetId="236" r:id="rId2"/>
    <sheet name="TEST歓迎会2(出欠管理)" sheetId="235" r:id="rId3"/>
    <sheet name="&lt;メンバ管理マスタ&gt;" sheetId="4" r:id="rId4"/>
    <sheet name="&lt;出欠プルダウン&gt;" sheetId="2" r:id="rId5"/>
    <sheet name="&lt;階級プルダウン&gt;" sheetId="3" r:id="rId6"/>
  </sheets>
  <functionGroups builtInGroupCount="19"/>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3" i="236" l="1"/>
  <c r="F13" i="236"/>
  <c r="G12" i="236"/>
  <c r="F12" i="236"/>
  <c r="G11" i="236"/>
  <c r="F11" i="236"/>
  <c r="G10" i="236"/>
  <c r="F10" i="236"/>
  <c r="G9" i="236"/>
  <c r="F9" i="236"/>
  <c r="G8" i="236"/>
  <c r="F8" i="236"/>
  <c r="G7" i="236"/>
  <c r="F7" i="236"/>
  <c r="G6" i="236"/>
  <c r="F6" i="236"/>
  <c r="G5" i="236"/>
  <c r="F5" i="236"/>
  <c r="G4" i="236"/>
  <c r="F4" i="236"/>
  <c r="G3" i="236"/>
  <c r="F3" i="236"/>
  <c r="K16" i="235"/>
  <c r="K15" i="235"/>
  <c r="K14" i="235"/>
  <c r="K13" i="235"/>
  <c r="J16" i="235"/>
  <c r="J15" i="235"/>
  <c r="J14" i="235"/>
  <c r="J13" i="235"/>
  <c r="I16" i="235"/>
  <c r="I15" i="235"/>
  <c r="I14" i="235"/>
  <c r="I13" i="235"/>
  <c r="H16" i="235"/>
  <c r="H15" i="235"/>
  <c r="H14" i="235"/>
  <c r="H13" i="235"/>
  <c r="G16" i="235"/>
  <c r="G15" i="235"/>
  <c r="G14" i="235"/>
  <c r="G13" i="235"/>
  <c r="F16" i="235"/>
  <c r="F15" i="235"/>
  <c r="F14" i="235"/>
  <c r="F13" i="235"/>
  <c r="E16" i="235"/>
  <c r="E15" i="235"/>
  <c r="E14" i="235"/>
  <c r="E13" i="235"/>
  <c r="D16" i="235"/>
  <c r="D15" i="235"/>
  <c r="D14" i="235"/>
  <c r="D13" i="235"/>
  <c r="C16" i="235"/>
  <c r="C15" i="235"/>
  <c r="C14" i="235"/>
  <c r="C13" i="235"/>
  <c r="B16" i="235"/>
  <c r="B15" i="235"/>
  <c r="B14" i="235"/>
  <c r="B13" i="235"/>
</calcChain>
</file>

<file path=xl/sharedStrings.xml><?xml version="1.0" encoding="utf-8"?>
<sst xmlns="http://schemas.openxmlformats.org/spreadsheetml/2006/main" count="122" uniqueCount="70">
  <si>
    <t>総合職</t>
    <rPh sb="0" eb="2">
      <t>ソウゴウ</t>
    </rPh>
    <rPh sb="2" eb="3">
      <t>ショク</t>
    </rPh>
    <phoneticPr fontId="1"/>
  </si>
  <si>
    <t>総合職</t>
    <rPh sb="0" eb="2">
      <t>ソウゴウ</t>
    </rPh>
    <rPh sb="2" eb="3">
      <t>ショク</t>
    </rPh>
    <phoneticPr fontId="2"/>
  </si>
  <si>
    <t>基幹職</t>
    <rPh sb="0" eb="2">
      <t>キカン</t>
    </rPh>
    <rPh sb="2" eb="3">
      <t>ショク</t>
    </rPh>
    <phoneticPr fontId="1"/>
  </si>
  <si>
    <t>基幹職</t>
    <rPh sb="0" eb="2">
      <t>キカン</t>
    </rPh>
    <rPh sb="2" eb="3">
      <t>ショク</t>
    </rPh>
    <phoneticPr fontId="2"/>
  </si>
  <si>
    <t>ライン職</t>
    <rPh sb="3" eb="4">
      <t>ショク</t>
    </rPh>
    <phoneticPr fontId="2"/>
  </si>
  <si>
    <t>出席</t>
    <rPh sb="0" eb="2">
      <t>シュッセキ</t>
    </rPh>
    <phoneticPr fontId="2"/>
  </si>
  <si>
    <t>欠席</t>
    <rPh sb="0" eb="2">
      <t>ケッセキ</t>
    </rPh>
    <phoneticPr fontId="2"/>
  </si>
  <si>
    <t>不明</t>
    <rPh sb="0" eb="2">
      <t>フメイ</t>
    </rPh>
    <phoneticPr fontId="2"/>
  </si>
  <si>
    <t>飲み会名</t>
    <rPh sb="0" eb="1">
      <t>ノ</t>
    </rPh>
    <rPh sb="2" eb="3">
      <t>カイ</t>
    </rPh>
    <rPh sb="3" eb="4">
      <t>メイ</t>
    </rPh>
    <phoneticPr fontId="2"/>
  </si>
  <si>
    <t>出欠プルダウンシート名</t>
    <rPh sb="0" eb="2">
      <t>シュッケツ</t>
    </rPh>
    <rPh sb="10" eb="11">
      <t>メイ</t>
    </rPh>
    <phoneticPr fontId="2"/>
  </si>
  <si>
    <t>メンバ管理シート名</t>
    <rPh sb="3" eb="5">
      <t>カンリ</t>
    </rPh>
    <rPh sb="8" eb="9">
      <t>メイ</t>
    </rPh>
    <phoneticPr fontId="2"/>
  </si>
  <si>
    <t>階級プルダウンシート名</t>
    <rPh sb="0" eb="2">
      <t>カイキュウ</t>
    </rPh>
    <rPh sb="10" eb="11">
      <t>メイ</t>
    </rPh>
    <phoneticPr fontId="2"/>
  </si>
  <si>
    <t>&lt;階級プルダウン&gt;</t>
    <phoneticPr fontId="2"/>
  </si>
  <si>
    <t>候補日：土日有無</t>
    <rPh sb="4" eb="6">
      <t>ドニチ</t>
    </rPh>
    <rPh sb="6" eb="7">
      <t>アリ</t>
    </rPh>
    <rPh sb="7" eb="8">
      <t>ナ</t>
    </rPh>
    <phoneticPr fontId="2"/>
  </si>
  <si>
    <t>無</t>
    <rPh sb="0" eb="1">
      <t>ナ</t>
    </rPh>
    <phoneticPr fontId="2"/>
  </si>
  <si>
    <t>候補日：開始日</t>
    <rPh sb="4" eb="6">
      <t>カイシ</t>
    </rPh>
    <rPh sb="6" eb="7">
      <t>ヒ</t>
    </rPh>
    <phoneticPr fontId="2"/>
  </si>
  <si>
    <t>候補日：終了日</t>
    <rPh sb="0" eb="2">
      <t>コウホ</t>
    </rPh>
    <rPh sb="2" eb="3">
      <t>ヒ</t>
    </rPh>
    <rPh sb="4" eb="6">
      <t>シュウリョウ</t>
    </rPh>
    <phoneticPr fontId="2"/>
  </si>
  <si>
    <t>階級</t>
  </si>
  <si>
    <t>アドレス1</t>
  </si>
  <si>
    <t>アドレス2</t>
  </si>
  <si>
    <t>A</t>
  </si>
  <si>
    <t>総合職</t>
  </si>
  <si>
    <t>B</t>
  </si>
  <si>
    <t>基幹職</t>
  </si>
  <si>
    <t>C</t>
  </si>
  <si>
    <t>D</t>
  </si>
  <si>
    <t>E</t>
  </si>
  <si>
    <t>F</t>
  </si>
  <si>
    <t>G</t>
  </si>
  <si>
    <t>H</t>
  </si>
  <si>
    <t>I</t>
  </si>
  <si>
    <t>J</t>
  </si>
  <si>
    <t>K</t>
  </si>
  <si>
    <t>名前</t>
    <rPh sb="0" eb="2">
      <t>ナマエ</t>
    </rPh>
    <phoneticPr fontId="1"/>
  </si>
  <si>
    <t>階級</t>
    <rPh sb="0" eb="2">
      <t>カイキュウ</t>
    </rPh>
    <phoneticPr fontId="1"/>
  </si>
  <si>
    <t>A@gmail.com</t>
  </si>
  <si>
    <t>A@yahoo.co.jp</t>
  </si>
  <si>
    <t>B@gmail.com</t>
  </si>
  <si>
    <t>B@yahoo.co.jp</t>
  </si>
  <si>
    <t>C@gmail.com</t>
  </si>
  <si>
    <t>C@yahoo.co.jp</t>
  </si>
  <si>
    <t>D@gmail.com</t>
  </si>
  <si>
    <t>D@yahoo.co.jp</t>
  </si>
  <si>
    <t>E@gmail.com</t>
  </si>
  <si>
    <t>E@yahoo.co.jp</t>
  </si>
  <si>
    <t>F@gmail.com</t>
  </si>
  <si>
    <t>F@yahoo.co.jp</t>
  </si>
  <si>
    <t>G@gmail.com</t>
  </si>
  <si>
    <t>G@yahoo.co.jp</t>
  </si>
  <si>
    <t>H@gmail.com</t>
  </si>
  <si>
    <t>H@yahoo.co.jp</t>
  </si>
  <si>
    <t>I@gmail.com</t>
  </si>
  <si>
    <t>I@yahoo.co.jp</t>
  </si>
  <si>
    <t>J@gmail.com</t>
  </si>
  <si>
    <t>J@yahoo.co.jp</t>
  </si>
  <si>
    <t>K@gmail.com</t>
  </si>
  <si>
    <t>K@yahoo.co.jp</t>
  </si>
  <si>
    <t>出席</t>
  </si>
  <si>
    <t>ライン職</t>
  </si>
  <si>
    <t>開催日</t>
  </si>
  <si>
    <t>&lt;出欠プルダウン&gt;</t>
    <phoneticPr fontId="2"/>
  </si>
  <si>
    <t>&lt;メンバ管理マスタ&gt;</t>
    <phoneticPr fontId="2"/>
  </si>
  <si>
    <t>欠席</t>
  </si>
  <si>
    <t>不明</t>
  </si>
  <si>
    <t>TEST歓迎会2</t>
    <rPh sb="4" eb="6">
      <t>カンゲイ</t>
    </rPh>
    <rPh sb="6" eb="7">
      <t>カイ</t>
    </rPh>
    <phoneticPr fontId="2"/>
  </si>
  <si>
    <t>名前</t>
  </si>
  <si>
    <t>未入力</t>
  </si>
  <si>
    <t>出欠</t>
  </si>
  <si>
    <t>会費</t>
  </si>
  <si>
    <t>#一番上は参加者のラベルにすること</t>
    <rPh sb="1" eb="3">
      <t>イチバン</t>
    </rPh>
    <rPh sb="3" eb="4">
      <t>ウエ</t>
    </rPh>
    <rPh sb="5" eb="7">
      <t>サンカ</t>
    </rPh>
    <rPh sb="7" eb="8">
      <t>シャ</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</si>
</sst>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11"/>
      <color theme="1"/>
      <name val="Yu Gothic"/>
      <family val="2"/>
      <scheme val="minor"/>
    </font>
    <font>
      <sz val="6"/>
      <name val="Yu Gothic"/>
      <family val="3"/>
      <charset val="128"/>
      <scheme val="minor"/>
    </font>
  </fonts>
  <fills count="4">
    <fill>
      <patternFill patternType="none"/>
    </fill>
    <fill>
      <patternFill patternType="gray125"/>
    </fill>
    <fill>
      <patternFill patternType="solid">
        <fgColor theme="9" tint="0.39997558519241921"/>
        <bgColor indexed="64"/>
      </patternFill>
    </fill>
    <fill>
      <patternFill patternType="solid">
        <fgColor rgb="FFA9D08E"/>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
    <xf numFmtId="0" fontId="0" fillId="0" borderId="0" xfId="0"/>
    <xf numFmtId="14" fontId="0" fillId="0" borderId="0" xfId="0" applyNumberFormat="1"/>
    <xf numFmtId="0" fontId="0" fillId="3" borderId="1" xfId="0" applyFill="1" applyBorder="1"/>
    <xf numFmtId="0" fontId="0" fillId="0" borderId="1" xfId="0" applyBorder="1"/>
    <xf numFmtId="0" fontId="0" fillId="2" borderId="1" xfId="0" applyFill="1" applyBorder="1"/>
    <xf numFmtId="14" fontId="0" fillId="3" borderId="1" xfId="0" applyNumberFormat="1" applyFill="1" applyBorder="1"/>
    <xf numFmtId="14" fontId="0" fillId="0" borderId="1" xfId="0" applyNumberFormat="1" applyBorder="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1419225</xdr:colOff>
      <xdr:row>11</xdr:row>
      <xdr:rowOff>19050</xdr:rowOff>
    </xdr:from>
    <xdr:to>
      <xdr:col>3</xdr:col>
      <xdr:colOff>361950</xdr:colOff>
      <xdr:row>12</xdr:row>
      <xdr:rowOff>85725</xdr:rowOff>
    </xdr:to>
    <xdr:sp macro="[0]!CreateSheetButton_Click" textlink="">
      <xdr:nvSpPr>
        <xdr:cNvPr id="2" name="正方形/長方形 1">
          <a:extLst>
            <a:ext uri="{FF2B5EF4-FFF2-40B4-BE49-F238E27FC236}">
              <a16:creationId xmlns:a16="http://schemas.microsoft.com/office/drawing/2014/main" id="{4F8923CB-258B-4AE2-835A-FD95163155CE}"/>
            </a:ext>
          </a:extLst>
        </xdr:cNvPr>
        <xdr:cNvSpPr/>
      </xdr:nvSpPr>
      <xdr:spPr>
        <a:xfrm>
          <a:off x="1419225" y="2638425"/>
          <a:ext cx="2362200"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100"/>
            <a:t>出欠シート、会費シート作成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7"/>
  <sheetViews>
    <sheetView workbookViewId="0">
      <selection activeCell="A26" sqref="A26"/>
    </sheetView>
  </sheetViews>
  <sheetFormatPr defaultRowHeight="18.75"/>
  <cols>
    <col min="1" max="1" width="25.625" customWidth="1"/>
    <col min="2" max="2" width="10.25" bestFit="1" customWidth="1"/>
  </cols>
  <sheetData>
    <row r="1" spans="1:2">
      <c r="A1" t="s">
        <v>8</v>
      </c>
      <c r="B1" t="s">
        <v>64</v>
      </c>
    </row>
    <row r="2" spans="1:2">
      <c r="A2" t="s">
        <v>15</v>
      </c>
      <c r="B2" s="1">
        <v>43966</v>
      </c>
    </row>
    <row r="3" spans="1:2">
      <c r="A3" t="s">
        <v>16</v>
      </c>
      <c r="B3" s="1">
        <v>43981</v>
      </c>
    </row>
    <row r="4" spans="1:2">
      <c r="A4" t="s">
        <v>13</v>
      </c>
      <c r="B4" t="s">
        <v>14</v>
      </c>
    </row>
    <row r="5" spans="1:2">
      <c r="A5" t="s">
        <v>10</v>
      </c>
      <c r="B5" t="s">
        <v>61</v>
      </c>
    </row>
    <row r="6" spans="1:2">
      <c r="A6" t="s">
        <v>9</v>
      </c>
      <c r="B6" t="s">
        <v>60</v>
      </c>
    </row>
    <row r="7" spans="1:2">
      <c r="A7" t="s">
        <v>11</v>
      </c>
      <c r="B7" t="s">
        <v>12</v>
      </c>
    </row>
  </sheetData>
  <phoneticPr fontId="2"/>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F8D92-40AD-45F8-8EAD-576D65A10353}">
  <sheetPr codeName="Sheet61"/>
  <dimension ref="A1:L13"/>
  <sheetViews>
    <sheetView workbookViewId="0"/>
  </sheetViews>
  <sheetFormatPr defaultRowHeight="18.75"/>
  <cols>
    <col min="1" max="2" width="15.625" customWidth="1"/>
    <col min="4" max="4" width="15.625" customWidth="1"/>
    <col min="5" max="5" width="10.625" customWidth="1"/>
  </cols>
  <sheetData>
    <row r="1" spans="1:12">
      <c r="A1" s="2" t="s">
        <v>17</v>
      </c>
      <c r="B1" s="2" t="s">
        <v>68</v>
      </c>
      <c r="D1" s="2" t="s">
        <v>59</v>
      </c>
      <c r="E1" s="6">
        <v>43969</v>
      </c>
    </row>
    <row r="2" spans="1:12">
      <c r="A2" s="3" t="s">
        <v>21</v>
      </c>
      <c r="B2" s="3"/>
      <c r="D2" s="2" t="s">
        <v>65</v>
      </c>
      <c r="E2" s="2" t="s">
        <v>17</v>
      </c>
      <c r="F2" s="2" t="s">
        <v>67</v>
      </c>
      <c r="G2" s="2" t="s">
        <v>68</v>
      </c>
      <c r="I2" s="2"/>
      <c r="J2" s="2" t="s">
        <v>21</v>
      </c>
      <c r="K2" s="2" t="s">
        <v>23</v>
      </c>
      <c r="L2" s="2" t="s">
        <v>58</v>
      </c>
    </row>
    <row r="3" spans="1:12">
      <c r="A3" s="3" t="s">
        <v>23</v>
      </c>
      <c r="B3" s="3"/>
      <c r="D3" s="3" t="s">
        <v>20</v>
      </c>
      <c r="E3" s="3" t="s">
        <v>21</v>
      </c>
      <c r="F3" s="3" t="str">
        <f>INDEX('TEST歓迎会2(出欠管理)'!A1:K12,MATCH("A",'TEST歓迎会2(出欠管理)'!A1:A12,0),MATCH(E1,'TEST歓迎会2(出欠管理)'!A1:K1,0)) &amp; ""</f>
        <v/>
      </c>
      <c r="G3" s="3">
        <f>IF(F3="出席",VLOOKUP(E3,A2:B4,2,FALSE),0)</f>
        <v>0</v>
      </c>
      <c r="I3" s="2" t="s">
        <v>57</v>
      </c>
    </row>
    <row r="4" spans="1:12">
      <c r="A4" s="3" t="s">
        <v>58</v>
      </c>
      <c r="B4" s="3"/>
      <c r="D4" s="3" t="s">
        <v>22</v>
      </c>
      <c r="E4" s="3" t="s">
        <v>23</v>
      </c>
      <c r="F4" s="3" t="str">
        <f>INDEX('TEST歓迎会2(出欠管理)'!A1:K12,MATCH("B",'TEST歓迎会2(出欠管理)'!A1:A12,0),MATCH(E1,'TEST歓迎会2(出欠管理)'!A1:K1,0)) &amp; ""</f>
        <v/>
      </c>
      <c r="G4" s="3">
        <f>IF(F4="出席",VLOOKUP(E4,A2:B4,2,FALSE),0)</f>
        <v>0</v>
      </c>
      <c r="I4" s="2" t="s">
        <v>62</v>
      </c>
    </row>
    <row r="5" spans="1:12">
      <c r="D5" s="3" t="s">
        <v>24</v>
      </c>
      <c r="E5" s="3" t="s">
        <v>21</v>
      </c>
      <c r="F5" s="3" t="str">
        <f>INDEX('TEST歓迎会2(出欠管理)'!A1:K12,MATCH("C",'TEST歓迎会2(出欠管理)'!A1:A12,0),MATCH(E1,'TEST歓迎会2(出欠管理)'!A1:K1,0)) &amp; ""</f>
        <v/>
      </c>
      <c r="G5" s="3">
        <f>IF(F5="出席",VLOOKUP(E5,A2:B4,2,FALSE),0)</f>
        <v>0</v>
      </c>
      <c r="I5" s="2" t="s">
        <v>63</v>
      </c>
    </row>
    <row r="6" spans="1:12">
      <c r="D6" s="3" t="s">
        <v>25</v>
      </c>
      <c r="E6" s="3" t="s">
        <v>21</v>
      </c>
      <c r="F6" s="3" t="str">
        <f>INDEX('TEST歓迎会2(出欠管理)'!A1:K12,MATCH("D",'TEST歓迎会2(出欠管理)'!A1:A12,0),MATCH(E1,'TEST歓迎会2(出欠管理)'!A1:K1,0)) &amp; ""</f>
        <v/>
      </c>
      <c r="G6" s="3">
        <f>IF(F6="出席",VLOOKUP(E6,A2:B4,2,FALSE),0)</f>
        <v>0</v>
      </c>
      <c r="I6" s="2" t="s">
        <v>66</v>
      </c>
    </row>
    <row r="7" spans="1:12">
      <c r="D7" s="3" t="s">
        <v>26</v>
      </c>
      <c r="E7" s="3" t="s">
        <v>21</v>
      </c>
      <c r="F7" s="3" t="str">
        <f>INDEX('TEST歓迎会2(出欠管理)'!A1:K12,MATCH("E",'TEST歓迎会2(出欠管理)'!A1:A12,0),MATCH(E1,'TEST歓迎会2(出欠管理)'!A1:K1,0)) &amp; ""</f>
        <v/>
      </c>
      <c r="G7" s="3">
        <f>IF(F7="出席",VLOOKUP(E7,A2:B4,2,FALSE),0)</f>
        <v>0</v>
      </c>
    </row>
    <row r="8" spans="1:12">
      <c r="D8" s="3" t="s">
        <v>27</v>
      </c>
      <c r="E8" s="3" t="s">
        <v>23</v>
      </c>
      <c r="F8" s="3" t="str">
        <f>INDEX('TEST歓迎会2(出欠管理)'!A1:K12,MATCH("F",'TEST歓迎会2(出欠管理)'!A1:A12,0),MATCH(E1,'TEST歓迎会2(出欠管理)'!A1:K1,0)) &amp; ""</f>
        <v/>
      </c>
      <c r="G8" s="3">
        <f>IF(F8="出席",VLOOKUP(E8,A2:B4,2,FALSE),0)</f>
        <v>0</v>
      </c>
    </row>
    <row r="9" spans="1:12">
      <c r="D9" s="3" t="s">
        <v>28</v>
      </c>
      <c r="E9" s="3" t="s">
        <v>23</v>
      </c>
      <c r="F9" s="3" t="str">
        <f>INDEX('TEST歓迎会2(出欠管理)'!A1:K12,MATCH("G",'TEST歓迎会2(出欠管理)'!A1:A12,0),MATCH(E1,'TEST歓迎会2(出欠管理)'!A1:K1,0)) &amp; ""</f>
        <v/>
      </c>
      <c r="G9" s="3">
        <f>IF(F9="出席",VLOOKUP(E9,A2:B4,2,FALSE),0)</f>
        <v>0</v>
      </c>
    </row>
    <row r="10" spans="1:12">
      <c r="D10" s="3" t="s">
        <v>29</v>
      </c>
      <c r="E10" s="3" t="s">
        <v>23</v>
      </c>
      <c r="F10" s="3" t="str">
        <f>INDEX('TEST歓迎会2(出欠管理)'!A1:K12,MATCH("H",'TEST歓迎会2(出欠管理)'!A1:A12,0),MATCH(E1,'TEST歓迎会2(出欠管理)'!A1:K1,0)) &amp; ""</f>
        <v/>
      </c>
      <c r="G10" s="3">
        <f>IF(F10="出席",VLOOKUP(E10,A2:B4,2,FALSE),0)</f>
        <v>0</v>
      </c>
    </row>
    <row r="11" spans="1:12">
      <c r="D11" s="3" t="s">
        <v>30</v>
      </c>
      <c r="E11" s="3" t="s">
        <v>23</v>
      </c>
      <c r="F11" s="3" t="str">
        <f>INDEX('TEST歓迎会2(出欠管理)'!A1:K12,MATCH("I",'TEST歓迎会2(出欠管理)'!A1:A12,0),MATCH(E1,'TEST歓迎会2(出欠管理)'!A1:K1,0)) &amp; ""</f>
        <v/>
      </c>
      <c r="G11" s="3">
        <f>IF(F11="出席",VLOOKUP(E11,A2:B4,2,FALSE),0)</f>
        <v>0</v>
      </c>
    </row>
    <row r="12" spans="1:12">
      <c r="D12" s="3" t="s">
        <v>31</v>
      </c>
      <c r="E12" s="3" t="s">
        <v>23</v>
      </c>
      <c r="F12" s="3" t="str">
        <f>INDEX('TEST歓迎会2(出欠管理)'!A1:K12,MATCH("J",'TEST歓迎会2(出欠管理)'!A1:A12,0),MATCH(E1,'TEST歓迎会2(出欠管理)'!A1:K1,0)) &amp; ""</f>
        <v/>
      </c>
      <c r="G12" s="3">
        <f>IF(F12="出席",VLOOKUP(E12,A2:B4,2,FALSE),0)</f>
        <v>0</v>
      </c>
    </row>
    <row r="13" spans="1:12">
      <c r="D13" s="3" t="s">
        <v>32</v>
      </c>
      <c r="E13" s="3" t="s">
        <v>23</v>
      </c>
      <c r="F13" s="3" t="str">
        <f>INDEX('TEST歓迎会2(出欠管理)'!A1:K12,MATCH("K",'TEST歓迎会2(出欠管理)'!A1:A12,0),MATCH(E1,'TEST歓迎会2(出欠管理)'!A1:K1,0)) &amp; ""</f>
        <v/>
      </c>
      <c r="G13" s="3">
        <f>IF(F13="出席",VLOOKUP(E13,A2:B4,2,FALSE),0)</f>
        <v>0</v>
      </c>
    </row>
  </sheetData>
  <phoneticPr fontId="2"/>
  <dataValidations count="1">
    <dataValidation type="list" allowBlank="1" showInputMessage="1" showErrorMessage="1" sqref="E1" xr:uid="{FBA3B860-6B0A-4EB9-A34F-CF6F90C0F412}">
      <formula1>",2020/05/18,,2020/05/19,,2020/05/20,,2020/05/21,,2020/05/22,,2020/05/25,,2020/05/26,,2020/05/27,,2020/05/28,,2020/05/29"</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4E933-077D-487F-B425-E9DA02AC2434}">
  <sheetPr codeName="Sheet60"/>
  <dimension ref="A1:K16"/>
  <sheetViews>
    <sheetView workbookViewId="0">
      <selection activeCell="C14" sqref="C14"/>
    </sheetView>
  </sheetViews>
  <sheetFormatPr defaultRowHeight="18.75"/>
  <cols>
    <col min="1" max="1" width="15.625" customWidth="1"/>
    <col min="2" max="11" width="10.625" customWidth="1"/>
  </cols>
  <sheetData>
    <row r="1" spans="1:11">
      <c r="A1" s="2" t="s">
        <v>65</v>
      </c>
      <c r="B1" s="5">
        <v>43969</v>
      </c>
      <c r="C1" s="5">
        <v>43970</v>
      </c>
      <c r="D1" s="5">
        <v>43971</v>
      </c>
      <c r="E1" s="5">
        <v>43972</v>
      </c>
      <c r="F1" s="5">
        <v>43973</v>
      </c>
      <c r="G1" s="5">
        <v>43976</v>
      </c>
      <c r="H1" s="5">
        <v>43977</v>
      </c>
      <c r="I1" s="5">
        <v>43978</v>
      </c>
      <c r="J1" s="5">
        <v>43979</v>
      </c>
      <c r="K1" s="5">
        <v>43980</v>
      </c>
    </row>
    <row r="2" spans="1:11">
      <c r="A2" s="3" t="s">
        <v>20</v>
      </c>
      <c r="B2" s="3"/>
      <c r="C2" s="3"/>
      <c r="D2" s="3"/>
      <c r="E2" s="3"/>
      <c r="F2" s="3"/>
      <c r="G2" s="3"/>
      <c r="H2" s="3"/>
      <c r="I2" s="3"/>
      <c r="J2" s="3"/>
      <c r="K2" s="3"/>
    </row>
    <row r="3" spans="1:11">
      <c r="A3" s="3" t="s">
        <v>22</v>
      </c>
      <c r="B3" s="3"/>
      <c r="C3" s="3"/>
      <c r="D3" s="3"/>
      <c r="E3" s="3"/>
      <c r="F3" s="3"/>
      <c r="G3" s="3"/>
      <c r="H3" s="3"/>
      <c r="I3" s="3"/>
      <c r="J3" s="3"/>
      <c r="K3" s="3"/>
    </row>
    <row r="4" spans="1:11">
      <c r="A4" s="3" t="s">
        <v>24</v>
      </c>
      <c r="B4" s="3"/>
      <c r="C4" s="3"/>
      <c r="D4" s="3"/>
      <c r="E4" s="3"/>
      <c r="F4" s="3"/>
      <c r="G4" s="3"/>
      <c r="H4" s="3"/>
      <c r="I4" s="3"/>
      <c r="J4" s="3"/>
      <c r="K4" s="3"/>
    </row>
    <row r="5" spans="1:11">
      <c r="A5" s="3" t="s">
        <v>25</v>
      </c>
      <c r="B5" s="3"/>
      <c r="C5" s="3"/>
      <c r="D5" s="3"/>
      <c r="E5" s="3"/>
      <c r="F5" s="3"/>
      <c r="G5" s="3"/>
      <c r="H5" s="3"/>
      <c r="I5" s="3"/>
      <c r="J5" s="3"/>
      <c r="K5" s="3"/>
    </row>
    <row r="6" spans="1:11">
      <c r="A6" s="3" t="s">
        <v>26</v>
      </c>
      <c r="B6" s="3"/>
      <c r="C6" s="3"/>
      <c r="D6" s="3"/>
      <c r="E6" s="3"/>
      <c r="F6" s="3"/>
      <c r="G6" s="3"/>
      <c r="H6" s="3"/>
      <c r="I6" s="3"/>
      <c r="J6" s="3"/>
      <c r="K6" s="3"/>
    </row>
    <row r="7" spans="1:11">
      <c r="A7" s="3" t="s">
        <v>27</v>
      </c>
      <c r="B7" s="3"/>
      <c r="C7" s="3"/>
      <c r="D7" s="3"/>
      <c r="E7" s="3"/>
      <c r="F7" s="3"/>
      <c r="G7" s="3"/>
      <c r="H7" s="3"/>
      <c r="I7" s="3"/>
      <c r="J7" s="3"/>
      <c r="K7" s="3"/>
    </row>
    <row r="8" spans="1:11">
      <c r="A8" s="3" t="s">
        <v>28</v>
      </c>
      <c r="B8" s="3"/>
      <c r="C8" s="3"/>
      <c r="D8" s="3"/>
      <c r="E8" s="3"/>
      <c r="F8" s="3"/>
      <c r="G8" s="3"/>
      <c r="H8" s="3"/>
      <c r="I8" s="3"/>
      <c r="J8" s="3"/>
      <c r="K8" s="3"/>
    </row>
    <row r="9" spans="1:11">
      <c r="A9" s="3" t="s">
        <v>29</v>
      </c>
      <c r="B9" s="3"/>
      <c r="C9" s="3"/>
      <c r="D9" s="3"/>
      <c r="E9" s="3"/>
      <c r="F9" s="3"/>
      <c r="G9" s="3"/>
      <c r="H9" s="3"/>
      <c r="I9" s="3"/>
      <c r="J9" s="3"/>
      <c r="K9" s="3"/>
    </row>
    <row r="10" spans="1:11">
      <c r="A10" s="3" t="s">
        <v>30</v>
      </c>
      <c r="B10" s="3"/>
      <c r="C10" s="3"/>
      <c r="D10" s="3"/>
      <c r="E10" s="3"/>
      <c r="F10" s="3"/>
      <c r="G10" s="3"/>
      <c r="H10" s="3"/>
      <c r="I10" s="3"/>
      <c r="J10" s="3"/>
      <c r="K10" s="3"/>
    </row>
    <row r="11" spans="1:11">
      <c r="A11" s="3" t="s">
        <v>31</v>
      </c>
      <c r="B11" s="3"/>
      <c r="C11" s="3"/>
      <c r="D11" s="3"/>
      <c r="E11" s="3"/>
      <c r="F11" s="3"/>
      <c r="G11" s="3"/>
      <c r="H11" s="3"/>
      <c r="I11" s="3"/>
      <c r="J11" s="3"/>
      <c r="K11" s="3"/>
    </row>
    <row r="12" spans="1:11">
      <c r="A12" s="3" t="s">
        <v>32</v>
      </c>
      <c r="B12" s="3"/>
      <c r="C12" s="3"/>
      <c r="D12" s="3"/>
      <c r="E12" s="3"/>
      <c r="F12" s="3"/>
      <c r="G12" s="3"/>
      <c r="H12" s="3"/>
      <c r="I12" s="3"/>
      <c r="J12" s="3"/>
      <c r="K12" s="3"/>
    </row>
    <row r="13" spans="1:11">
      <c r="A13" s="3" t="s">
        <v>57</v>
      </c>
      <c r="B13" s="3">
        <f>COUNTIF(B2:B12,"出席")</f>
        <v>0</v>
      </c>
      <c r="C13" s="3">
        <f>COUNTIF(C2:C12,"出席")</f>
        <v>0</v>
      </c>
      <c r="D13" s="3">
        <f>COUNTIF(D2:D12,"出席")</f>
        <v>0</v>
      </c>
      <c r="E13" s="3">
        <f>COUNTIF(E2:E12,"出席")</f>
        <v>0</v>
      </c>
      <c r="F13" s="3">
        <f>COUNTIF(F2:F12,"出席")</f>
        <v>0</v>
      </c>
      <c r="G13" s="3">
        <f>COUNTIF(G2:G12,"出席")</f>
        <v>0</v>
      </c>
      <c r="H13" s="3">
        <f>COUNTIF(H2:H12,"出席")</f>
        <v>0</v>
      </c>
      <c r="I13" s="3">
        <f>COUNTIF(I2:I12,"出席")</f>
        <v>0</v>
      </c>
      <c r="J13" s="3">
        <f>COUNTIF(J2:J12,"出席")</f>
        <v>0</v>
      </c>
      <c r="K13" s="3">
        <f>COUNTIF(K2:K12,"出席")</f>
        <v>0</v>
      </c>
    </row>
    <row r="14" spans="1:11">
      <c r="A14" s="3" t="s">
        <v>62</v>
      </c>
      <c r="B14" s="3">
        <f>COUNTIF(B2:B12,"欠席")</f>
        <v>0</v>
      </c>
      <c r="C14" s="3">
        <f>COUNTIF(C2:C12,"欠席")</f>
        <v>0</v>
      </c>
      <c r="D14" s="3">
        <f>COUNTIF(D2:D12,"欠席")</f>
        <v>0</v>
      </c>
      <c r="E14" s="3">
        <f>COUNTIF(E2:E12,"欠席")</f>
        <v>0</v>
      </c>
      <c r="F14" s="3">
        <f>COUNTIF(F2:F12,"欠席")</f>
        <v>0</v>
      </c>
      <c r="G14" s="3">
        <f>COUNTIF(G2:G12,"欠席")</f>
        <v>0</v>
      </c>
      <c r="H14" s="3">
        <f>COUNTIF(H2:H12,"欠席")</f>
        <v>0</v>
      </c>
      <c r="I14" s="3">
        <f>COUNTIF(I2:I12,"欠席")</f>
        <v>0</v>
      </c>
      <c r="J14" s="3">
        <f>COUNTIF(J2:J12,"欠席")</f>
        <v>0</v>
      </c>
      <c r="K14" s="3">
        <f>COUNTIF(K2:K12,"欠席")</f>
        <v>0</v>
      </c>
    </row>
    <row r="15" spans="1:11">
      <c r="A15" s="3" t="s">
        <v>63</v>
      </c>
      <c r="B15" s="3">
        <f>COUNTIF(B2:B12,"不明")</f>
        <v>0</v>
      </c>
      <c r="C15" s="3">
        <f>COUNTIF(C2:C12,"不明")</f>
        <v>0</v>
      </c>
      <c r="D15" s="3">
        <f>COUNTIF(D2:D12,"不明")</f>
        <v>0</v>
      </c>
      <c r="E15" s="3">
        <f>COUNTIF(E2:E12,"不明")</f>
        <v>0</v>
      </c>
      <c r="F15" s="3">
        <f>COUNTIF(F2:F12,"不明")</f>
        <v>0</v>
      </c>
      <c r="G15" s="3">
        <f>COUNTIF(G2:G12,"不明")</f>
        <v>0</v>
      </c>
      <c r="H15" s="3">
        <f>COUNTIF(H2:H12,"不明")</f>
        <v>0</v>
      </c>
      <c r="I15" s="3">
        <f>COUNTIF(I2:I12,"不明")</f>
        <v>0</v>
      </c>
      <c r="J15" s="3">
        <f>COUNTIF(J2:J12,"不明")</f>
        <v>0</v>
      </c>
      <c r="K15" s="3">
        <f>COUNTIF(K2:K12,"不明")</f>
        <v>0</v>
      </c>
    </row>
    <row r="16" spans="1:11">
      <c r="A16" s="3" t="s">
        <v>66</v>
      </c>
      <c r="B16" s="3">
        <f>COUNTIF(B2:B12,"")</f>
        <v>11</v>
      </c>
      <c r="C16" s="3">
        <f>COUNTIF(C2:C12,"")</f>
        <v>11</v>
      </c>
      <c r="D16" s="3">
        <f>COUNTIF(D2:D12,"")</f>
        <v>11</v>
      </c>
      <c r="E16" s="3">
        <f>COUNTIF(E2:E12,"")</f>
        <v>11</v>
      </c>
      <c r="F16" s="3">
        <f>COUNTIF(F2:F12,"")</f>
        <v>11</v>
      </c>
      <c r="G16" s="3">
        <f>COUNTIF(G2:G12,"")</f>
        <v>11</v>
      </c>
      <c r="H16" s="3">
        <f>COUNTIF(H2:H12,"")</f>
        <v>11</v>
      </c>
      <c r="I16" s="3">
        <f>COUNTIF(I2:I12,"")</f>
        <v>11</v>
      </c>
      <c r="J16" s="3">
        <f>COUNTIF(J2:J12,"")</f>
        <v>11</v>
      </c>
      <c r="K16" s="3">
        <f>COUNTIF(K2:K12,"")</f>
        <v>11</v>
      </c>
    </row>
  </sheetData>
  <phoneticPr fontId="2"/>
  <dataValidations count="1">
    <dataValidation type="list" allowBlank="1" showInputMessage="1" showErrorMessage="1" sqref="B2 C2 D2 E2 F2 G2 H2 I2 J2 K2 B3 C3 D3 E3 F3 G3 H3 I3 J3 K3 B4 C4 D4 E4 F4 G4 H4 I4 J4 K4 B5 C5 D5 E5 F5 G5 H5 I5 J5 K5 B6 C6 D6 E6 F6 G6 H6 I6 J6 K6 B7 C7 D7 E7 F7 G7 H7 I7 J7 K7 B8 C8 D8 E8 F8 G8 H8 I8 J8 K8 B9 C9 D9 E9 F9 G9 H9 I9 J9 K9 B10 C10 D10 E10 F10 G10 H10 I10 J10 K10 B11 C11 D11 E11 F11 G11 H11 I11 J11 K11 B12 C12 D12 E12 F12 G12 H12 I12 J12 K12" xr:uid="{5BE68398-B959-48DF-8287-FDF6081F65B0}">
      <formula1>"出席,欠席,不明"</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64F07-C893-4544-985A-72F9A6A82ABD}">
  <sheetPr codeName="Sheet2"/>
  <dimension ref="A1:D12"/>
  <sheetViews>
    <sheetView workbookViewId="0">
      <selection sqref="A1:B12"/>
    </sheetView>
  </sheetViews>
  <sheetFormatPr defaultRowHeight="18.75"/>
  <cols>
    <col min="1" max="2" width="15.625" customWidth="1"/>
    <col min="3" max="4" width="30.625" customWidth="1"/>
  </cols>
  <sheetData>
    <row r="1" spans="1:4">
      <c r="A1" s="4" t="s">
        <v>33</v>
      </c>
      <c r="B1" s="4" t="s">
        <v>34</v>
      </c>
      <c r="C1" s="4" t="s">
        <v>18</v>
      </c>
      <c r="D1" s="4" t="s">
        <v>19</v>
      </c>
    </row>
    <row r="2" spans="1:4">
      <c r="A2" s="3" t="s">
        <v>20</v>
      </c>
      <c r="B2" s="3" t="s">
        <v>0</v>
      </c>
      <c r="C2" s="3" t="s">
        <v>35</v>
      </c>
      <c r="D2" s="3" t="s">
        <v>36</v>
      </c>
    </row>
    <row r="3" spans="1:4">
      <c r="A3" s="3" t="s">
        <v>22</v>
      </c>
      <c r="B3" s="3" t="s">
        <v>2</v>
      </c>
      <c r="C3" s="3" t="s">
        <v>37</v>
      </c>
      <c r="D3" s="3" t="s">
        <v>38</v>
      </c>
    </row>
    <row r="4" spans="1:4">
      <c r="A4" s="3" t="s">
        <v>24</v>
      </c>
      <c r="B4" s="3" t="s">
        <v>0</v>
      </c>
      <c r="C4" s="3" t="s">
        <v>39</v>
      </c>
      <c r="D4" s="3" t="s">
        <v>40</v>
      </c>
    </row>
    <row r="5" spans="1:4">
      <c r="A5" s="3" t="s">
        <v>25</v>
      </c>
      <c r="B5" s="3" t="s">
        <v>0</v>
      </c>
      <c r="C5" s="3" t="s">
        <v>41</v>
      </c>
      <c r="D5" s="3" t="s">
        <v>42</v>
      </c>
    </row>
    <row r="6" spans="1:4">
      <c r="A6" s="3" t="s">
        <v>26</v>
      </c>
      <c r="B6" s="3" t="s">
        <v>0</v>
      </c>
      <c r="C6" s="3" t="s">
        <v>43</v>
      </c>
      <c r="D6" s="3" t="s">
        <v>44</v>
      </c>
    </row>
    <row r="7" spans="1:4">
      <c r="A7" s="3" t="s">
        <v>27</v>
      </c>
      <c r="B7" s="3" t="s">
        <v>2</v>
      </c>
      <c r="C7" s="3" t="s">
        <v>45</v>
      </c>
      <c r="D7" s="3" t="s">
        <v>46</v>
      </c>
    </row>
    <row r="8" spans="1:4">
      <c r="A8" s="3" t="s">
        <v>28</v>
      </c>
      <c r="B8" s="3" t="s">
        <v>2</v>
      </c>
      <c r="C8" s="3" t="s">
        <v>47</v>
      </c>
      <c r="D8" s="3" t="s">
        <v>48</v>
      </c>
    </row>
    <row r="9" spans="1:4">
      <c r="A9" s="3" t="s">
        <v>29</v>
      </c>
      <c r="B9" s="3" t="s">
        <v>2</v>
      </c>
      <c r="C9" s="3" t="s">
        <v>49</v>
      </c>
      <c r="D9" s="3" t="s">
        <v>50</v>
      </c>
    </row>
    <row r="10" spans="1:4">
      <c r="A10" s="3" t="s">
        <v>30</v>
      </c>
      <c r="B10" s="3" t="s">
        <v>2</v>
      </c>
      <c r="C10" s="3" t="s">
        <v>51</v>
      </c>
      <c r="D10" s="3" t="s">
        <v>52</v>
      </c>
    </row>
    <row r="11" spans="1:4">
      <c r="A11" s="3" t="s">
        <v>31</v>
      </c>
      <c r="B11" s="3" t="s">
        <v>2</v>
      </c>
      <c r="C11" s="3" t="s">
        <v>53</v>
      </c>
      <c r="D11" s="3" t="s">
        <v>54</v>
      </c>
    </row>
    <row r="12" spans="1:4">
      <c r="A12" s="3" t="s">
        <v>32</v>
      </c>
      <c r="B12" s="3" t="s">
        <v>2</v>
      </c>
      <c r="C12" s="3" t="s">
        <v>55</v>
      </c>
      <c r="D12" s="3" t="s">
        <v>56</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A34FA-DC89-4E54-A09F-71E650869E35}">
  <sheetPr codeName="Sheet3"/>
  <dimension ref="A1:B3"/>
  <sheetViews>
    <sheetView tabSelected="1" workbookViewId="0">
      <selection activeCell="B1" sqref="B1"/>
    </sheetView>
  </sheetViews>
  <sheetFormatPr defaultRowHeight="18.75"/>
  <sheetData>
    <row r="1" spans="1:2">
      <c r="A1" t="s">
        <v>5</v>
      </c>
      <c r="B1" t="s">
        <v>69</v>
      </c>
    </row>
    <row r="2" spans="1:2">
      <c r="A2" t="s">
        <v>6</v>
      </c>
    </row>
    <row r="3" spans="1:2">
      <c r="A3" t="s">
        <v>7</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56983-E76C-4B01-8A91-5C8B0F5C80BF}">
  <sheetPr codeName="Sheet4"/>
  <dimension ref="A1:A3"/>
  <sheetViews>
    <sheetView workbookViewId="0">
      <selection activeCell="F21" sqref="F21"/>
    </sheetView>
  </sheetViews>
  <sheetFormatPr defaultRowHeight="18.75"/>
  <sheetData>
    <row r="1" spans="1:1">
      <c r="A1" t="s">
        <v>1</v>
      </c>
    </row>
    <row r="2" spans="1:1">
      <c r="A2" t="s">
        <v>3</v>
      </c>
    </row>
    <row r="3" spans="1:1">
      <c r="A3" t="s">
        <v>4</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自動生成用シート</vt:lpstr>
      <vt:lpstr>TEST歓迎会2(会費管理)</vt:lpstr>
      <vt:lpstr>TEST歓迎会2(出欠管理)</vt:lpstr>
      <vt:lpstr>&lt;メンバ管理マスタ&gt;</vt:lpstr>
      <vt:lpstr>&lt;出欠プルダウン&gt;</vt:lpstr>
      <vt:lpstr>&lt;階級プルダウン&gt;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tomonori sakagami</dc:creator>
  <cp:lastModifiedBy>tomonori sakagami</cp:lastModifiedBy>
  <dcterms:created xsi:type="dcterms:W3CDTF">2015-06-05T18:19:34Z</dcterms:created>
  <dcterms:modified xsi:type="dcterms:W3CDTF">2020-05-25T17:44:12Z</dcterms:modified>
</cp:coreProperties>
</file>